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d.docs.live.net/AC0839BD4705D69A/Documents/"/>
    </mc:Choice>
  </mc:AlternateContent>
  <xr:revisionPtr revIDLastSave="0" documentId="8_{2302DE72-BEE4-4A14-8DDD-C6169CEAABC0}" xr6:coauthVersionLast="47" xr6:coauthVersionMax="47" xr10:uidLastSave="{00000000-0000-0000-0000-000000000000}"/>
  <bookViews>
    <workbookView xWindow="4800" yWindow="2470" windowWidth="14400" windowHeight="7270" firstSheet="5" activeTab="5" xr2:uid="{194D9151-033E-435D-9915-1DADDCAAE8C2}"/>
  </bookViews>
  <sheets>
    <sheet name="Sheet2" sheetId="2" r:id="rId1"/>
    <sheet name="Sheet4" sheetId="10" r:id="rId2"/>
    <sheet name="Sheet7" sheetId="11" r:id="rId3"/>
    <sheet name="Sheet10" sheetId="14" r:id="rId4"/>
    <sheet name="Sheet1" sheetId="1" r:id="rId5"/>
    <sheet name="Dashboard" sheetId="15" r:id="rId6"/>
  </sheets>
  <definedNames>
    <definedName name="_xlchart.v1.0" hidden="1">Sheet1!$E$1</definedName>
    <definedName name="_xlchart.v1.1" hidden="1">Sheet1!$E$2:$E$201</definedName>
  </definedNames>
  <calcPr calcId="191028"/>
  <pivotCaches>
    <pivotCache cacheId="46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" i="1" l="1"/>
  <c r="L2" i="1" a="1"/>
  <c r="H5" i="15"/>
  <c r="D5" i="15"/>
  <c r="B5" i="15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" i="1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" i="1"/>
  <c r="F5" i="1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<sst xmlns="http://schemas.openxmlformats.org/spreadsheetml/2006/main" count="876" uniqueCount="128">
  <si>
    <t>Sum of Sales</t>
  </si>
  <si>
    <t>Column Labels</t>
  </si>
  <si>
    <t>Row Labels</t>
  </si>
  <si>
    <t>Books</t>
  </si>
  <si>
    <t>Clothing</t>
  </si>
  <si>
    <t>Electronics</t>
  </si>
  <si>
    <t>Furniture</t>
  </si>
  <si>
    <t>Office Supplies</t>
  </si>
  <si>
    <t>Grand Total</t>
  </si>
  <si>
    <t>Central</t>
  </si>
  <si>
    <t>East</t>
  </si>
  <si>
    <t>North</t>
  </si>
  <si>
    <t>South</t>
  </si>
  <si>
    <t>West</t>
  </si>
  <si>
    <t>Sales</t>
  </si>
  <si>
    <t>Mean</t>
  </si>
  <si>
    <t>Standard Error</t>
  </si>
  <si>
    <t>Median</t>
  </si>
  <si>
    <t>Mode</t>
  </si>
  <si>
    <t>#NA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</si>
  <si>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</si>
  <si>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</si>
  <si>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</si>
  <si>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</si>
  <si>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</si>
  <si>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</si>
  <si>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</si>
  <si>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</si>
  <si>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</si>
  <si>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OUTPUT</t>
  </si>
  <si>
    <t>Profit</t>
  </si>
  <si>
    <t>Regression Statistics</t>
  </si>
  <si>
    <t>Multiple R</t>
  </si>
  <si>
    <t>R Square</t>
  </si>
  <si>
    <t>Adjusted R Square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</si>
  <si>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</si>
  <si>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</si>
  <si>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</si>
  <si>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</si>
  <si>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</si>
  <si>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</si>
  <si>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</si>
  <si>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</si>
  <si>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</si>
  <si>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</si>
  <si>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</si>
  <si>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</si>
  <si>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</si>
  <si>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</si>
  <si>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</si>
  <si>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</si>
  <si>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</si>
  <si>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</si>
  <si>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</si>
  <si>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Bin</t>
  </si>
  <si>
    <t>Frequency</t>
  </si>
  <si>
    <t>More</t>
  </si>
  <si>
    <t>Customer_ID</t>
  </si>
  <si>
    <t>Customer_Name</t>
  </si>
  <si>
    <t>Region</t>
  </si>
  <si>
    <t>Product_Category</t>
  </si>
  <si>
    <t>Quantity</t>
  </si>
  <si>
    <t>Discount</t>
  </si>
  <si>
    <t>Order_Date</t>
  </si>
  <si>
    <t>More than 1k sale</t>
  </si>
  <si>
    <t>Highest sale</t>
  </si>
  <si>
    <t>CUST019</t>
  </si>
  <si>
    <t>James Davis</t>
  </si>
  <si>
    <t>CUST012</t>
  </si>
  <si>
    <t>Robert Anderson</t>
  </si>
  <si>
    <t>CUST017</t>
  </si>
  <si>
    <t>James Taylor</t>
  </si>
  <si>
    <t>CUST005</t>
  </si>
  <si>
    <t>CUST030</t>
  </si>
  <si>
    <t>James Wilson</t>
  </si>
  <si>
    <t>CUST007</t>
  </si>
  <si>
    <t>Michael Anderson</t>
  </si>
  <si>
    <t>CUST001</t>
  </si>
  <si>
    <t>Linda Wilson</t>
  </si>
  <si>
    <t>CUST026</t>
  </si>
  <si>
    <t>Mary Davis</t>
  </si>
  <si>
    <t>CUST009</t>
  </si>
  <si>
    <t>Linda Jackson</t>
  </si>
  <si>
    <t>CUST010</t>
  </si>
  <si>
    <t>David Thomas</t>
  </si>
  <si>
    <t>CUST014</t>
  </si>
  <si>
    <t>Emma Davis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</si>
  <si>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</si>
  <si>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</si>
  <si>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</si>
  <si>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</si>
  <si>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</si>
  <si>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</si>
  <si>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</si>
  <si>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</si>
  <si>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</si>
  <si>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</si>
  <si>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</si>
  <si>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</si>
  <si>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</si>
  <si>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</si>
  <si>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</si>
  <si>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</si>
  <si>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</si>
  <si>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</si>
  <si>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</si>
  <si>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</si>
  <si>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</si>
  <si>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</si>
  <si>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</si>
  <si>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</si>
  <si>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</si>
  <si>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</si>
  <si>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</si>
  <si>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</si>
  <si>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</si>
  <si>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</si>
  <si>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</si>
  <si>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</si>
  <si>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</si>
  <si>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</si>
  <si>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</si>
  <si>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</si>
  <si>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Sales Insights Dashboard</t>
  </si>
  <si>
    <t>Total sale</t>
  </si>
  <si>
    <t>Total Profit</t>
  </si>
  <si>
    <t>Count Of Orders</t>
  </si>
  <si>
    <t>Average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</si>
</sst>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 [$₹-4009]\ * #,##0.00_ ;_ [$₹-4009]\ * \-#,##0.00_ ;_ [$₹-4009]\ * &quot;-&quot;??_ ;_ @_ "/>
  </numFmts>
  <fonts count="10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2"/>
      <name val="Aptos Narrow"/>
      <family val="2"/>
      <scheme val="minor"/>
    </font>
    <font>
      <b/>
      <u/>
      <sz val="22"/>
      <color theme="2"/>
      <name val="Aptos Narrow"/>
      <family val="2"/>
      <scheme val="minor"/>
    </font>
    <font>
      <b/>
      <sz val="3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right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22" fontId="0" fillId="0" borderId="0" xfId="0" applyNumberFormat="1"/>
    <xf numFmtId="0" fontId="1" fillId="0" borderId="0" xfId="0" applyFont="1" applyAlignment="1">
      <alignment wrapText="1"/>
    </xf>
    <xf numFmtId="4" fontId="2" fillId="0" borderId="1" xfId="0" applyNumberFormat="1" applyFont="1" applyBorder="1" applyAlignment="1">
      <alignment horizontal="right" wrapText="1"/>
    </xf>
    <xf numFmtId="9" fontId="2" fillId="0" borderId="1" xfId="1" applyFont="1" applyBorder="1" applyAlignment="1">
      <alignment horizontal="right" wrapText="1"/>
    </xf>
    <xf numFmtId="0" fontId="0" fillId="0" borderId="2" xfId="0" applyBorder="1"/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Continuous"/>
    </xf>
    <xf numFmtId="0" fontId="5" fillId="0" borderId="0" xfId="0" applyFont="1"/>
    <xf numFmtId="0" fontId="7" fillId="2" borderId="4" xfId="0" applyFont="1" applyFill="1" applyBorder="1" applyAlignment="1">
      <alignment horizontal="center"/>
    </xf>
    <xf numFmtId="164" fontId="6" fillId="2" borderId="5" xfId="0" applyNumberFormat="1" applyFont="1" applyFill="1" applyBorder="1" applyAlignment="1">
      <alignment horizontal="center"/>
    </xf>
    <xf numFmtId="0" fontId="6" fillId="2" borderId="5" xfId="2" applyNumberFormat="1" applyFont="1" applyFill="1" applyBorder="1" applyAlignment="1">
      <alignment horizontal="center"/>
    </xf>
    <xf numFmtId="9" fontId="6" fillId="2" borderId="5" xfId="1" applyFont="1" applyFill="1" applyBorder="1" applyAlignment="1">
      <alignment horizontal="center"/>
    </xf>
    <xf numFmtId="0" fontId="0" fillId="3" borderId="0" xfId="0" applyFill="1"/>
    <xf numFmtId="0" fontId="8" fillId="3" borderId="0" xfId="0" applyFont="1" applyFill="1"/>
    <xf numFmtId="0" fontId="9" fillId="0" borderId="0" xfId="0" applyFont="1"/>
    <xf numFmtId="4" fontId="0" fillId="0" borderId="0" xfId="0" applyNumberFormat="1"/>
    <xf numFmtId="0" fontId="1" fillId="0" borderId="0" xfId="0" applyFont="1" applyFill="1" applyBorder="1" applyAlignment="1">
      <alignment wrapText="1"/>
    </xf>
  </cellXfs>
  <cellStyles count="3">
    <cellStyle name="Currency" xfId="2" builtinId="4"/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vertical="bottom"/>
    </dxf>
    <dxf>
      <numFmt numFmtId="164" formatCode="_ [$₹-4009]\ * #,##0.00_ ;_ [$₹-4009]\ * \-#,##0.00_ ;_ [$₹-4009]\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by Category</a:t>
            </a:r>
          </a:p>
        </c:rich>
      </c:tx>
      <c:layout>
        <c:manualLayout>
          <c:xMode val="edge"/>
          <c:yMode val="edge"/>
          <c:x val="0.35603496765572606"/>
          <c:y val="6.4506273049466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Books</c:v>
              </c:pt>
              <c:pt idx="1">
                <c:v>Clothing</c:v>
              </c:pt>
              <c:pt idx="2">
                <c:v>Electronics</c:v>
              </c:pt>
              <c:pt idx="3">
                <c:v>Furniture</c:v>
              </c:pt>
              <c:pt idx="4">
                <c:v>Office Supplies</c:v>
              </c:pt>
            </c:strLit>
          </c:cat>
          <c:val>
            <c:numLit>
              <c:formatCode>General</c:formatCode>
              <c:ptCount val="5"/>
              <c:pt idx="0">
                <c:v>16901.630000000005</c:v>
              </c:pt>
              <c:pt idx="1">
                <c:v>18784.490000000002</c:v>
              </c:pt>
              <c:pt idx="2">
                <c:v>9182.1500000000015</c:v>
              </c:pt>
              <c:pt idx="3">
                <c:v>11579.140000000003</c:v>
              </c:pt>
              <c:pt idx="4">
                <c:v>11839.599999999999</c:v>
              </c:pt>
            </c:numLit>
          </c:val>
          <c:extLst>
            <c:ext xmlns:c16="http://schemas.microsoft.com/office/drawing/2014/chart" uri="{C3380CC4-5D6E-409C-BE32-E72D297353CC}">
              <c16:uniqueId val="{00000000-15D2-4796-A6EB-D4CEE09B9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2360976"/>
        <c:axId val="822365656"/>
      </c:barChart>
      <c:catAx>
        <c:axId val="82236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365656"/>
        <c:crosses val="autoZero"/>
        <c:auto val="1"/>
        <c:lblAlgn val="ctr"/>
        <c:lblOffset val="100"/>
        <c:noMultiLvlLbl val="0"/>
      </c:catAx>
      <c:valAx>
        <c:axId val="822365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36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region</a:t>
            </a:r>
          </a:p>
        </c:rich>
      </c:tx>
      <c:layout>
        <c:manualLayout>
          <c:xMode val="edge"/>
          <c:yMode val="edge"/>
          <c:x val="0.26938375129341785"/>
          <c:y val="7.13966832281516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4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5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6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7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8145331572767229"/>
          <c:y val="0.2289169463534175"/>
          <c:w val="0.43709336854465547"/>
          <c:h val="0.59194971972598043"/>
        </c:manualLayout>
      </c:layout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3EF-4888-94E9-23DC7800C055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3EF-4888-94E9-23DC7800C055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3EF-4888-94E9-23DC7800C055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3EF-4888-94E9-23DC7800C055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3EF-4888-94E9-23DC7800C0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Central</c:v>
              </c:pt>
              <c:pt idx="1">
                <c:v>East</c:v>
              </c:pt>
              <c:pt idx="2">
                <c:v>North</c:v>
              </c:pt>
              <c:pt idx="3">
                <c:v>South</c:v>
              </c:pt>
              <c:pt idx="4">
                <c:v>West</c:v>
              </c:pt>
            </c:strLit>
          </c:cat>
          <c:val>
            <c:numLit>
              <c:formatCode>General</c:formatCode>
              <c:ptCount val="5"/>
              <c:pt idx="0">
                <c:v>43468.33</c:v>
              </c:pt>
              <c:pt idx="1">
                <c:v>32441.64</c:v>
              </c:pt>
              <c:pt idx="2">
                <c:v>34975.42</c:v>
              </c:pt>
              <c:pt idx="3">
                <c:v>40248.79</c:v>
              </c:pt>
              <c:pt idx="4">
                <c:v>44083.58</c:v>
              </c:pt>
            </c:numLit>
          </c:val>
          <c:extLst>
            <c:ext xmlns:c16="http://schemas.microsoft.com/office/drawing/2014/chart" uri="{C3380CC4-5D6E-409C-BE32-E72D297353CC}">
              <c16:uniqueId val="{0000000A-43EF-4888-94E9-23DC7800C05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5985660838120858E-3"/>
          <c:y val="0.82156451324266289"/>
          <c:w val="0.72242513423396626"/>
          <c:h val="0.17843548675733714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month</a:t>
            </a:r>
          </a:p>
        </c:rich>
      </c:tx>
      <c:layout>
        <c:manualLayout>
          <c:xMode val="edge"/>
          <c:yMode val="edge"/>
          <c:x val="0.3673510988408192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0508804508765982E-2"/>
          <c:y val="0.13416788474960167"/>
          <c:w val="0.90518259978277782"/>
          <c:h val="0.66557203808319831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14914.650000000001</c:v>
              </c:pt>
              <c:pt idx="1">
                <c:v>14006.359999999999</c:v>
              </c:pt>
              <c:pt idx="2">
                <c:v>17655.219999999998</c:v>
              </c:pt>
              <c:pt idx="3">
                <c:v>22242.129999999997</c:v>
              </c:pt>
              <c:pt idx="4">
                <c:v>18507.339999999997</c:v>
              </c:pt>
              <c:pt idx="5">
                <c:v>20187.509999999998</c:v>
              </c:pt>
              <c:pt idx="6">
                <c:v>11609.039999999999</c:v>
              </c:pt>
              <c:pt idx="7">
                <c:v>10091.699999999999</c:v>
              </c:pt>
              <c:pt idx="8">
                <c:v>20533.499999999996</c:v>
              </c:pt>
              <c:pt idx="9">
                <c:v>14215.240000000002</c:v>
              </c:pt>
              <c:pt idx="10">
                <c:v>20135.030000000002</c:v>
              </c:pt>
              <c:pt idx="11">
                <c:v>11120.04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FDE-42EC-A1E2-B2942FB13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6331840"/>
        <c:axId val="706333280"/>
      </c:lineChart>
      <c:catAx>
        <c:axId val="70633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333280"/>
        <c:crosses val="autoZero"/>
        <c:auto val="1"/>
        <c:lblAlgn val="ctr"/>
        <c:lblOffset val="100"/>
        <c:noMultiLvlLbl val="0"/>
      </c:catAx>
      <c:valAx>
        <c:axId val="70633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33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Distribution of Sales Amounts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>
                <a:glow>
                  <a:schemeClr val="accent1">
                    <a:alpha val="40000"/>
                  </a:schemeClr>
                </a:glow>
              </a:effectLst>
            </a:defRPr>
          </a:pPr>
          <a:r>
            <a:rPr lang="en-US" sz="1400" b="0" i="0" u="none" strike="noStrike" baseline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>
                <a:glow>
                  <a:schemeClr val="accent1">
                    <a:alpha val="40000"/>
                  </a:schemeClr>
                </a:glow>
              </a:effectLst>
              <a:latin typeface="Aptos Narrow" panose="02110004020202020204"/>
            </a:rPr>
            <a:t>Distribution of Sales Amounts</a:t>
          </a:r>
        </a:p>
      </cx:txPr>
    </cx:title>
    <cx:plotArea>
      <cx:plotAreaRegion>
        <cx:series layoutId="clusteredColumn" uniqueId="{00000000-812A-4829-AEF7-B1BD2C321394}">
          <cx:tx>
            <cx:txData>
              <cx:f>_xlchart.v1.0</cx:f>
              <cx:v>Sales</cx:v>
            </cx:txData>
          </cx:tx>
          <cx:dataId val="0"/>
          <cx:layoutPr>
            <cx:binning intervalClosed="r">
              <cx:binSize val="200"/>
            </cx:binning>
          </cx:layoutPr>
        </cx:series>
      </cx:plotAreaRegion>
      <cx:axis id="0">
        <cx:catScaling gapWidth="0.0599999987"/>
        <cx:tickLabels/>
        <cx:numFmt formatCode="#,##0" sourceLinked="0"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>
                  <a:glow>
                    <a:schemeClr val="accent1">
                      <a:alpha val="40000"/>
                    </a:schemeClr>
                  </a:glow>
                </a:effectLst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IN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>
                <a:glow>
                  <a:schemeClr val="accent1">
                    <a:alpha val="40000"/>
                  </a:schemeClr>
                </a:glow>
              </a:effectLst>
            </a:endParaRPr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>
                  <a:glow>
                    <a:schemeClr val="accent1">
                      <a:alpha val="40000"/>
                    </a:schemeClr>
                  </a:glow>
                </a:effectLst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IN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>
                <a:glow>
                  <a:schemeClr val="accent1">
                    <a:alpha val="40000"/>
                  </a:schemeClr>
                </a:glow>
              </a:effectLst>
            </a:endParaRPr>
          </a:p>
        </cx:txPr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239241</xdr:colOff>
      <xdr:row>5</xdr:row>
      <xdr:rowOff>16822</xdr:rowOff>
    </xdr:from>
    <xdr:to>
      <xdr:col>5</xdr:col>
      <xdr:colOff>88958</xdr:colOff>
      <xdr:row>18</xdr:row>
      <xdr:rowOff>179650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12F4AA-AAB4-4070-95BE-571BBB5C19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274235</xdr:colOff>
      <xdr:row>20</xdr:row>
      <xdr:rowOff>54542</xdr:rowOff>
    </xdr:from>
    <xdr:to>
      <xdr:col>3</xdr:col>
      <xdr:colOff>993468</xdr:colOff>
      <xdr:row>33</xdr:row>
      <xdr:rowOff>41846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286271-2A87-4105-9E88-9AD685C26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359235</xdr:colOff>
      <xdr:row>5</xdr:row>
      <xdr:rowOff>153629</xdr:rowOff>
    </xdr:from>
    <xdr:to>
      <xdr:col>8</xdr:col>
      <xdr:colOff>126707</xdr:colOff>
      <xdr:row>20</xdr:row>
      <xdr:rowOff>40968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A945D1-9038-46C8-9CB8-5590808AD2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317501</xdr:colOff>
      <xdr:row>5</xdr:row>
      <xdr:rowOff>99787</xdr:rowOff>
    </xdr:from>
    <xdr:to>
      <xdr:col>8</xdr:col>
      <xdr:colOff>254001</xdr:colOff>
      <xdr:row>19</xdr:row>
      <xdr:rowOff>1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8D22C56-E687-F9BB-D98B-A5774FCCFCCE}"/>
            </a:ext>
          </a:extLst>
        </xdr:cNvPr>
        <xdr:cNvSpPr/>
      </xdr:nvSpPr>
      <xdr:spPr>
        <a:xfrm>
          <a:off x="5043715" y="1641930"/>
          <a:ext cx="4526643" cy="2440214"/>
        </a:xfrm>
        <a:prstGeom prst="round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275361</xdr:colOff>
      <xdr:row>5</xdr:row>
      <xdr:rowOff>117929</xdr:rowOff>
    </xdr:from>
    <xdr:to>
      <xdr:col>5</xdr:col>
      <xdr:colOff>78131</xdr:colOff>
      <xdr:row>18</xdr:row>
      <xdr:rowOff>154215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A682CC6D-F72B-41F8-9F5E-C48BB2E84F95}"/>
            </a:ext>
          </a:extLst>
        </xdr:cNvPr>
        <xdr:cNvSpPr/>
      </xdr:nvSpPr>
      <xdr:spPr>
        <a:xfrm>
          <a:off x="275361" y="1664461"/>
          <a:ext cx="4534544" cy="2432899"/>
        </a:xfrm>
        <a:prstGeom prst="round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275654</xdr:colOff>
      <xdr:row>19</xdr:row>
      <xdr:rowOff>145142</xdr:rowOff>
    </xdr:from>
    <xdr:to>
      <xdr:col>3</xdr:col>
      <xdr:colOff>1044677</xdr:colOff>
      <xdr:row>33</xdr:row>
      <xdr:rowOff>27214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F0D2127E-41F3-45F1-A9E6-5F4802A931AE}"/>
            </a:ext>
          </a:extLst>
        </xdr:cNvPr>
        <xdr:cNvSpPr/>
      </xdr:nvSpPr>
      <xdr:spPr>
        <a:xfrm>
          <a:off x="275654" y="4272642"/>
          <a:ext cx="3278297" cy="2463040"/>
        </a:xfrm>
        <a:prstGeom prst="round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1342105</xdr:colOff>
      <xdr:row>19</xdr:row>
      <xdr:rowOff>163872</xdr:rowOff>
    </xdr:from>
    <xdr:to>
      <xdr:col>8</xdr:col>
      <xdr:colOff>256050</xdr:colOff>
      <xdr:row>33</xdr:row>
      <xdr:rowOff>10244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E67253AE-F324-41F4-83F4-21DCF7732F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1290483</xdr:colOff>
      <xdr:row>19</xdr:row>
      <xdr:rowOff>143387</xdr:rowOff>
    </xdr:from>
    <xdr:to>
      <xdr:col>8</xdr:col>
      <xdr:colOff>307258</xdr:colOff>
      <xdr:row>33</xdr:row>
      <xdr:rowOff>112661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DB4174DE-3EE5-485B-BE12-FBE8796D668A}"/>
            </a:ext>
          </a:extLst>
        </xdr:cNvPr>
        <xdr:cNvSpPr/>
      </xdr:nvSpPr>
      <xdr:spPr>
        <a:xfrm>
          <a:off x="3799757" y="4270887"/>
          <a:ext cx="5837904" cy="2550242"/>
        </a:xfrm>
        <a:prstGeom prst="round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2023" refreshedDate="46311.57247835648" createdVersion="8" refreshedVersion="8" minRefreshableVersion="3" recordCount="200" xr:uid="{65B26934-D535-4B5C-B5ED-824F82C437EC}">
  <cacheSource type="worksheet">
    <worksheetSource ref="A1:I201" sheet="Sheet1"/>
  </cacheSource>
  <cacheFields count="9">
    <cacheField name="Customer_ID" numFmtId="0">
      <sharedItems/>
    </cacheField>
    <cacheField name="Customer_Name" numFmtId="0">
      <sharedItems/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 minValue="258.51" maxValue="1923.66"/>
    </cacheField>
    <cacheField name="Quantity" numFmtId="0">
      <sharedItems containsSemiMixedTypes="0" containsString="0" containsNumber="1" containsInteger="1" minValue="1" maxValue="19"/>
    </cacheField>
    <cacheField name="Discount" numFmtId="0">
      <sharedItems containsSemiMixedTypes="0" containsString="0" containsNumber="1" minValue="0" maxValue="0.2"/>
    </cacheField>
    <cacheField name="Order_Date" numFmtId="14">
      <sharedItems containsSemiMixedTypes="0" containsNonDate="0" containsDate="1" containsString="0" minDate="2024-04-10T00:00:00" maxDate="2025-04-08T00:00:00" count="148">
        <d v="2024-04-10T00:00:00"/>
        <d v="2024-04-11T00:00:00"/>
        <d v="2024-04-14T00:00:00"/>
        <d v="2024-04-15T00:00:00"/>
        <d v="2024-04-16T00:00:00"/>
        <d v="2024-04-19T00:00:00"/>
        <d v="2024-04-20T00:00:00"/>
        <d v="2024-04-22T00:00:00"/>
        <d v="2024-04-24T00:00:00"/>
        <d v="2024-04-27T00:00:00"/>
        <d v="2024-04-28T00:00:00"/>
        <d v="2024-04-29T00:00:00"/>
        <d v="2024-04-30T00:00:00"/>
        <d v="2024-05-02T00:00:00"/>
        <d v="2024-05-03T00:00:00"/>
        <d v="2024-05-04T00:00:00"/>
        <d v="2024-05-06T00:00:00"/>
        <d v="2024-05-08T00:00:00"/>
        <d v="2024-05-10T00:00:00"/>
        <d v="2024-05-14T00:00:00"/>
        <d v="2024-05-15T00:00:00"/>
        <d v="2024-05-16T00:00:00"/>
        <d v="2024-05-17T00:00:00"/>
        <d v="2024-05-22T00:00:00"/>
        <d v="2024-05-23T00:00:00"/>
        <d v="2024-06-02T00:00:00"/>
        <d v="2024-06-04T00:00:00"/>
        <d v="2024-06-05T00:00:00"/>
        <d v="2024-06-06T00:00:00"/>
        <d v="2024-06-07T00:00:00"/>
        <d v="2024-06-08T00:00:00"/>
        <d v="2024-06-14T00:00:00"/>
        <d v="2024-06-18T00:00:00"/>
        <d v="2024-06-20T00:00:00"/>
        <d v="2024-06-21T00:00:00"/>
        <d v="2024-06-23T00:00:00"/>
        <d v="2024-06-25T00:00:00"/>
        <d v="2024-06-27T00:00:00"/>
        <d v="2024-06-28T00:00:00"/>
        <d v="2024-06-30T00:00:00"/>
        <d v="2024-07-05T00:00:00"/>
        <d v="2024-07-06T00:00:00"/>
        <d v="2024-07-08T00:00:00"/>
        <d v="2024-07-09T00:00:00"/>
        <d v="2024-07-14T00:00:00"/>
        <d v="2024-07-15T00:00:00"/>
        <d v="2024-07-21T00:00:00"/>
        <d v="2024-07-29T00:00:00"/>
        <d v="2024-07-30T00:00:00"/>
        <d v="2024-07-31T00:00:00"/>
        <d v="2024-08-05T00:00:00"/>
        <d v="2024-08-08T00:00:00"/>
        <d v="2024-08-09T00:00:00"/>
        <d v="2024-08-15T00:00:00"/>
        <d v="2024-08-18T00:00:00"/>
        <d v="2024-08-19T00:00:00"/>
        <d v="2024-08-22T00:00:00"/>
        <d v="2024-08-30T00:00:00"/>
        <d v="2024-09-01T00:00:00"/>
        <d v="2024-09-09T00:00:00"/>
        <d v="2024-09-11T00:00:00"/>
        <d v="2024-09-12T00:00:00"/>
        <d v="2024-09-14T00:00:00"/>
        <d v="2024-09-16T00:00:00"/>
        <d v="2024-09-17T00:00:00"/>
        <d v="2024-09-18T00:00:00"/>
        <d v="2024-09-22T00:00:00"/>
        <d v="2024-09-23T00:00:00"/>
        <d v="2024-09-24T00:00:00"/>
        <d v="2024-09-29T00:00:00"/>
        <d v="2024-09-30T00:00:00"/>
        <d v="2024-10-02T00:00:00"/>
        <d v="2024-10-05T00:00:00"/>
        <d v="2024-10-10T00:00:00"/>
        <d v="2024-10-12T00:00:00"/>
        <d v="2024-10-15T00:00:00"/>
        <d v="2024-10-16T00:00:00"/>
        <d v="2024-10-17T00:00:00"/>
        <d v="2024-10-19T00:00:00"/>
        <d v="2024-10-20T00:00:00"/>
        <d v="2024-10-28T00:00:00"/>
        <d v="2024-10-30T00:00:00"/>
        <d v="2024-11-01T00:00:00"/>
        <d v="2024-11-03T00:00:00"/>
        <d v="2024-11-09T00:00:00"/>
        <d v="2024-11-12T00:00:00"/>
        <d v="2024-11-15T00:00:00"/>
        <d v="2024-11-16T00:00:00"/>
        <d v="2024-11-17T00:00:00"/>
        <d v="2024-11-19T00:00:00"/>
        <d v="2024-11-20T00:00:00"/>
        <d v="2024-11-26T00:00:00"/>
        <d v="2024-11-28T00:00:00"/>
        <d v="2024-11-29T00:00:00"/>
        <d v="2024-11-30T00:00:00"/>
        <d v="2024-12-04T00:00:00"/>
        <d v="2024-12-05T00:00:00"/>
        <d v="2024-12-12T00:00:00"/>
        <d v="2024-12-14T00:00:00"/>
        <d v="2024-12-20T00:00:00"/>
        <d v="2024-12-21T00:00:00"/>
        <d v="2024-12-24T00:00:00"/>
        <d v="2024-12-25T00:00:00"/>
        <d v="2024-12-30T00:00:00"/>
        <d v="2025-01-01T00:00:00"/>
        <d v="2025-01-02T00:00:00"/>
        <d v="2025-01-03T00:00:00"/>
        <d v="2025-01-06T00:00:00"/>
        <d v="2025-01-10T00:00:00"/>
        <d v="2025-01-12T00:00:00"/>
        <d v="2025-01-13T00:00:00"/>
        <d v="2025-01-16T00:00:00"/>
        <d v="2025-01-17T00:00:00"/>
        <d v="2025-01-20T00:00:00"/>
        <d v="2025-01-21T00:00:00"/>
        <d v="2025-01-27T00:00:00"/>
        <d v="2025-02-02T00:00:00"/>
        <d v="2025-02-04T00:00:00"/>
        <d v="2025-02-05T00:00:00"/>
        <d v="2025-02-07T00:00:00"/>
        <d v="2025-02-10T00:00:00"/>
        <d v="2025-02-15T00:00:00"/>
        <d v="2025-02-17T00:00:00"/>
        <d v="2025-02-19T00:00:00"/>
        <d v="2025-02-20T00:00:00"/>
        <d v="2025-02-21T00:00:00"/>
        <d v="2025-02-24T00:00:00"/>
        <d v="2025-02-25T00:00:00"/>
        <d v="2025-02-27T00:00:00"/>
        <d v="2025-03-01T00:00:00"/>
        <d v="2025-03-02T00:00:00"/>
        <d v="2025-03-05T00:00:00"/>
        <d v="2025-03-08T00:00:00"/>
        <d v="2025-03-09T00:00:00"/>
        <d v="2025-03-10T00:00:00"/>
        <d v="2025-03-11T00:00:00"/>
        <d v="2025-03-17T00:00:00"/>
        <d v="2025-03-18T00:00:00"/>
        <d v="2025-03-20T00:00:00"/>
        <d v="2025-03-22T00:00:00"/>
        <d v="2025-03-25T00:00:00"/>
        <d v="2025-03-26T00:00:00"/>
        <d v="2025-03-27T00:00:00"/>
        <d v="2025-03-29T00:00:00"/>
        <d v="2025-03-30T00:00:00"/>
        <d v="2025-04-02T00:00:00"/>
        <d v="2025-04-05T00:00:00"/>
        <d v="2025-04-07T00:00:00"/>
      </sharedItems>
    </cacheField>
    <cacheField name="Profit" numFmtId="0">
      <sharedItems containsSemiMixedTypes="0" containsString="0" containsNumber="1" minValue="64.63" maxValue="769.46"/>
    </cacheField>
  </cacheFields>
  <extLst>
    <ext xmlns:x14="http://schemas.microsoft.com/office/spreadsheetml/2009/9/main" uri="{725AE2AE-9491-48be-B2B4-4EB974FC3084}">
      <x14:pivotCacheDefinition pivotCacheId="434234622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CUST019"/>
    <s v="James Davis"/>
    <x v="0"/>
    <x v="0"/>
    <n v="1036.0899999999999"/>
    <n v="4"/>
    <n v="0.2"/>
    <x v="0"/>
    <n v="331.55"/>
  </r>
  <r>
    <s v="CUST012"/>
    <s v="Robert Anderson"/>
    <x v="0"/>
    <x v="1"/>
    <n v="1101.28"/>
    <n v="3"/>
    <n v="0.2"/>
    <x v="1"/>
    <n v="440.51"/>
  </r>
  <r>
    <s v="CUST017"/>
    <s v="James Taylor"/>
    <x v="1"/>
    <x v="0"/>
    <n v="713.34"/>
    <n v="17"/>
    <n v="0"/>
    <x v="2"/>
    <n v="285.33999999999997"/>
  </r>
  <r>
    <s v="CUST005"/>
    <s v="Robert Anderson"/>
    <x v="2"/>
    <x v="2"/>
    <n v="760.93"/>
    <n v="4"/>
    <n v="0.15"/>
    <x v="2"/>
    <n v="161.69999999999999"/>
  </r>
  <r>
    <s v="CUST030"/>
    <s v="James Wilson"/>
    <x v="3"/>
    <x v="0"/>
    <n v="847"/>
    <n v="12"/>
    <n v="0.2"/>
    <x v="3"/>
    <n v="271.04000000000002"/>
  </r>
  <r>
    <s v="CUST007"/>
    <s v="Michael Anderson"/>
    <x v="3"/>
    <x v="3"/>
    <n v="965.64"/>
    <n v="8"/>
    <n v="0.1"/>
    <x v="4"/>
    <n v="304.18"/>
  </r>
  <r>
    <s v="CUST001"/>
    <s v="Linda Wilson"/>
    <x v="0"/>
    <x v="2"/>
    <n v="1317.53"/>
    <n v="12"/>
    <n v="0.05"/>
    <x v="4"/>
    <n v="312.91000000000003"/>
  </r>
  <r>
    <s v="CUST026"/>
    <s v="Mary Davis"/>
    <x v="1"/>
    <x v="3"/>
    <n v="1074.47"/>
    <n v="6"/>
    <n v="0.2"/>
    <x v="5"/>
    <n v="300.85000000000002"/>
  </r>
  <r>
    <s v="CUST009"/>
    <s v="Linda Jackson"/>
    <x v="4"/>
    <x v="0"/>
    <n v="501.54"/>
    <n v="11"/>
    <n v="0.05"/>
    <x v="5"/>
    <n v="190.59"/>
  </r>
  <r>
    <s v="CUST010"/>
    <s v="David Thomas"/>
    <x v="4"/>
    <x v="1"/>
    <n v="737.31"/>
    <n v="2"/>
    <n v="0.05"/>
    <x v="5"/>
    <n v="350.22"/>
  </r>
  <r>
    <s v="CUST014"/>
    <s v="Emma Davis"/>
    <x v="0"/>
    <x v="4"/>
    <n v="1572.82"/>
    <n v="6"/>
    <n v="0.05"/>
    <x v="6"/>
    <n v="672.38"/>
  </r>
  <r>
    <s v="CUST014"/>
    <s v="David Thomas"/>
    <x v="4"/>
    <x v="0"/>
    <n v="1343.13"/>
    <n v="14"/>
    <n v="0.15"/>
    <x v="7"/>
    <n v="456.66"/>
  </r>
  <r>
    <s v="CUST007"/>
    <s v="Michael Anderson"/>
    <x v="4"/>
    <x v="0"/>
    <n v="1191.58"/>
    <n v="14"/>
    <n v="0.05"/>
    <x v="8"/>
    <n v="452.8"/>
  </r>
  <r>
    <s v="CUST023"/>
    <s v="Robert Anderson"/>
    <x v="0"/>
    <x v="3"/>
    <n v="822.28"/>
    <n v="7"/>
    <n v="0.05"/>
    <x v="8"/>
    <n v="273.41000000000003"/>
  </r>
  <r>
    <s v="CUST029"/>
    <s v="David Smith"/>
    <x v="3"/>
    <x v="3"/>
    <n v="521.66999999999996"/>
    <n v="15"/>
    <n v="0.15"/>
    <x v="9"/>
    <n v="155.19999999999999"/>
  </r>
  <r>
    <s v="CUST005"/>
    <s v="Sarah Anderson"/>
    <x v="2"/>
    <x v="2"/>
    <n v="1502.93"/>
    <n v="14"/>
    <n v="0.2"/>
    <x v="10"/>
    <n v="300.58999999999997"/>
  </r>
  <r>
    <s v="CUST008"/>
    <s v="Robert Anderson"/>
    <x v="2"/>
    <x v="0"/>
    <n v="877.58"/>
    <n v="10"/>
    <n v="0.15"/>
    <x v="11"/>
    <n v="298.38"/>
  </r>
  <r>
    <s v="CUST001"/>
    <s v="Lisa Thomas"/>
    <x v="0"/>
    <x v="0"/>
    <n v="636.70000000000005"/>
    <n v="4"/>
    <n v="0.2"/>
    <x v="11"/>
    <n v="203.74"/>
  </r>
  <r>
    <s v="CUST006"/>
    <s v="Mary Jackson"/>
    <x v="0"/>
    <x v="0"/>
    <n v="1506.14"/>
    <n v="13"/>
    <n v="0.2"/>
    <x v="12"/>
    <n v="481.96"/>
  </r>
  <r>
    <s v="CUST026"/>
    <s v="Mary Davis"/>
    <x v="4"/>
    <x v="2"/>
    <n v="645.02"/>
    <n v="4"/>
    <n v="0"/>
    <x v="13"/>
    <n v="161.26"/>
  </r>
  <r>
    <s v="CUST007"/>
    <s v="Lisa Davis"/>
    <x v="2"/>
    <x v="1"/>
    <n v="953.3"/>
    <n v="11"/>
    <n v="0"/>
    <x v="14"/>
    <n v="476.65"/>
  </r>
  <r>
    <s v="CUST022"/>
    <s v="Robert Anderson"/>
    <x v="3"/>
    <x v="2"/>
    <n v="388.56"/>
    <n v="14"/>
    <n v="0.15"/>
    <x v="15"/>
    <n v="82.57"/>
  </r>
  <r>
    <s v="CUST019"/>
    <s v="Mary Davis"/>
    <x v="0"/>
    <x v="0"/>
    <n v="743.17"/>
    <n v="9"/>
    <n v="0"/>
    <x v="15"/>
    <n v="297.27"/>
  </r>
  <r>
    <s v="CUST023"/>
    <s v="Mary Davis"/>
    <x v="4"/>
    <x v="2"/>
    <n v="706.37"/>
    <n v="6"/>
    <n v="0"/>
    <x v="15"/>
    <n v="176.59"/>
  </r>
  <r>
    <s v="CUST012"/>
    <s v="Mary Davis"/>
    <x v="4"/>
    <x v="4"/>
    <n v="925.31"/>
    <n v="8"/>
    <n v="0.1"/>
    <x v="16"/>
    <n v="374.75"/>
  </r>
  <r>
    <s v="CUST010"/>
    <s v="Linda Brown"/>
    <x v="2"/>
    <x v="2"/>
    <n v="1173.1199999999999"/>
    <n v="18"/>
    <n v="0"/>
    <x v="16"/>
    <n v="293.27999999999997"/>
  </r>
  <r>
    <s v="CUST030"/>
    <s v="John Brown"/>
    <x v="3"/>
    <x v="3"/>
    <n v="675.54"/>
    <n v="17"/>
    <n v="0"/>
    <x v="17"/>
    <n v="236.44"/>
  </r>
  <r>
    <s v="CUST007"/>
    <s v="Robert Anderson"/>
    <x v="4"/>
    <x v="0"/>
    <n v="939.09"/>
    <n v="2"/>
    <n v="0.05"/>
    <x v="18"/>
    <n v="356.85"/>
  </r>
  <r>
    <s v="CUST028"/>
    <s v="Linda Taylor"/>
    <x v="1"/>
    <x v="4"/>
    <n v="983.34"/>
    <n v="19"/>
    <n v="0.1"/>
    <x v="19"/>
    <n v="398.25"/>
  </r>
  <r>
    <s v="CUST028"/>
    <s v="James Wilson"/>
    <x v="2"/>
    <x v="2"/>
    <n v="801.21"/>
    <n v="3"/>
    <n v="0.2"/>
    <x v="19"/>
    <n v="160.24"/>
  </r>
  <r>
    <s v="CUST025"/>
    <s v="David Brown"/>
    <x v="3"/>
    <x v="2"/>
    <n v="1450.71"/>
    <n v="5"/>
    <n v="0.1"/>
    <x v="20"/>
    <n v="326.41000000000003"/>
  </r>
  <r>
    <s v="CUST022"/>
    <s v="David Davis"/>
    <x v="4"/>
    <x v="0"/>
    <n v="1023.21"/>
    <n v="18"/>
    <n v="0.05"/>
    <x v="21"/>
    <n v="388.82"/>
  </r>
  <r>
    <s v="CUST001"/>
    <s v="Mary Jackson"/>
    <x v="0"/>
    <x v="3"/>
    <n v="853.72"/>
    <n v="5"/>
    <n v="0.15"/>
    <x v="21"/>
    <n v="253.98"/>
  </r>
  <r>
    <s v="CUST021"/>
    <s v="Sarah Anderson"/>
    <x v="2"/>
    <x v="2"/>
    <n v="967.89"/>
    <n v="10"/>
    <n v="0.1"/>
    <x v="22"/>
    <n v="217.78"/>
  </r>
  <r>
    <s v="CUST015"/>
    <s v="Linda Taylor"/>
    <x v="3"/>
    <x v="4"/>
    <n v="1200.9000000000001"/>
    <n v="14"/>
    <n v="0.05"/>
    <x v="22"/>
    <n v="513.38"/>
  </r>
  <r>
    <s v="CUST012"/>
    <s v="Michael Anderson"/>
    <x v="0"/>
    <x v="0"/>
    <n v="472.38"/>
    <n v="12"/>
    <n v="0.2"/>
    <x v="22"/>
    <n v="151.16"/>
  </r>
  <r>
    <s v="CUST019"/>
    <s v="David Brown"/>
    <x v="1"/>
    <x v="4"/>
    <n v="840.92"/>
    <n v="9"/>
    <n v="0.05"/>
    <x v="22"/>
    <n v="359.49"/>
  </r>
  <r>
    <s v="CUST028"/>
    <s v="Lisa Davis"/>
    <x v="4"/>
    <x v="3"/>
    <n v="1410.06"/>
    <n v="11"/>
    <n v="0.05"/>
    <x v="23"/>
    <n v="468.84"/>
  </r>
  <r>
    <s v="CUST008"/>
    <s v="Mary Wilson"/>
    <x v="4"/>
    <x v="3"/>
    <n v="773.09"/>
    <n v="13"/>
    <n v="0.15"/>
    <x v="23"/>
    <n v="229.99"/>
  </r>
  <r>
    <s v="CUST016"/>
    <s v="Emma Wilson"/>
    <x v="1"/>
    <x v="0"/>
    <n v="580.42999999999995"/>
    <n v="19"/>
    <n v="0.15"/>
    <x v="24"/>
    <n v="197.35"/>
  </r>
  <r>
    <s v="CUST005"/>
    <s v="David Smith"/>
    <x v="2"/>
    <x v="0"/>
    <n v="1151.21"/>
    <n v="15"/>
    <n v="0.1"/>
    <x v="25"/>
    <n v="414.44"/>
  </r>
  <r>
    <s v="CUST028"/>
    <s v="James Wilson"/>
    <x v="4"/>
    <x v="4"/>
    <n v="1025.98"/>
    <n v="5"/>
    <n v="0.2"/>
    <x v="26"/>
    <n v="369.35"/>
  </r>
  <r>
    <s v="CUST023"/>
    <s v="David Davis"/>
    <x v="1"/>
    <x v="4"/>
    <n v="556.41999999999996"/>
    <n v="11"/>
    <n v="0.15"/>
    <x v="26"/>
    <n v="212.83"/>
  </r>
  <r>
    <s v="CUST021"/>
    <s v="James Wilson"/>
    <x v="4"/>
    <x v="0"/>
    <n v="840.85"/>
    <n v="19"/>
    <n v="0.1"/>
    <x v="27"/>
    <n v="302.70999999999998"/>
  </r>
  <r>
    <s v="CUST026"/>
    <s v="Emma Wilson"/>
    <x v="3"/>
    <x v="3"/>
    <n v="1227.25"/>
    <n v="12"/>
    <n v="0.15"/>
    <x v="27"/>
    <n v="365.11"/>
  </r>
  <r>
    <s v="CUST017"/>
    <s v="Linda Davis"/>
    <x v="4"/>
    <x v="2"/>
    <n v="856.7"/>
    <n v="2"/>
    <n v="0"/>
    <x v="28"/>
    <n v="214.18"/>
  </r>
  <r>
    <s v="CUST025"/>
    <s v="David Davis"/>
    <x v="4"/>
    <x v="4"/>
    <n v="1225.42"/>
    <n v="8"/>
    <n v="0.15"/>
    <x v="28"/>
    <n v="468.72"/>
  </r>
  <r>
    <s v="CUST011"/>
    <s v="Mary Davis"/>
    <x v="3"/>
    <x v="4"/>
    <n v="1001.57"/>
    <n v="12"/>
    <n v="0"/>
    <x v="29"/>
    <n v="450.71"/>
  </r>
  <r>
    <s v="CUST021"/>
    <s v="Michael Anderson"/>
    <x v="1"/>
    <x v="3"/>
    <n v="1186.8499999999999"/>
    <n v="19"/>
    <n v="0.2"/>
    <x v="30"/>
    <n v="332.32"/>
  </r>
  <r>
    <s v="CUST008"/>
    <s v="John Brown"/>
    <x v="2"/>
    <x v="2"/>
    <n v="775.45"/>
    <n v="6"/>
    <n v="0.1"/>
    <x v="31"/>
    <n v="174.48"/>
  </r>
  <r>
    <s v="CUST007"/>
    <s v="Linda Jackson"/>
    <x v="2"/>
    <x v="2"/>
    <n v="1021.47"/>
    <n v="6"/>
    <n v="0.05"/>
    <x v="32"/>
    <n v="242.6"/>
  </r>
  <r>
    <s v="CUST015"/>
    <s v="James Wilson"/>
    <x v="2"/>
    <x v="1"/>
    <n v="1226.6199999999999"/>
    <n v="7"/>
    <n v="0.1"/>
    <x v="33"/>
    <n v="551.98"/>
  </r>
  <r>
    <s v="CUST030"/>
    <s v="Sarah Davis"/>
    <x v="2"/>
    <x v="3"/>
    <n v="1086.93"/>
    <n v="2"/>
    <n v="0"/>
    <x v="34"/>
    <n v="380.43"/>
  </r>
  <r>
    <s v="CUST002"/>
    <s v="Lisa Davis"/>
    <x v="0"/>
    <x v="0"/>
    <n v="942.9"/>
    <n v="18"/>
    <n v="0.1"/>
    <x v="35"/>
    <n v="339.44"/>
  </r>
  <r>
    <s v="CUST009"/>
    <s v="Emma Davis"/>
    <x v="3"/>
    <x v="2"/>
    <n v="818.8"/>
    <n v="15"/>
    <n v="0.15"/>
    <x v="36"/>
    <n v="173.99"/>
  </r>
  <r>
    <s v="CUST005"/>
    <s v="Robert Anderson"/>
    <x v="2"/>
    <x v="3"/>
    <n v="919.04"/>
    <n v="10"/>
    <n v="0.2"/>
    <x v="36"/>
    <n v="257.33"/>
  </r>
  <r>
    <s v="CUST030"/>
    <s v="Emma Taylor"/>
    <x v="4"/>
    <x v="0"/>
    <n v="973.26"/>
    <n v="11"/>
    <n v="0"/>
    <x v="37"/>
    <n v="389.3"/>
  </r>
  <r>
    <s v="CUST029"/>
    <s v="Sarah Davis"/>
    <x v="3"/>
    <x v="2"/>
    <n v="741.61"/>
    <n v="1"/>
    <n v="0.2"/>
    <x v="38"/>
    <n v="148.32"/>
  </r>
  <r>
    <s v="CUST003"/>
    <s v="Emma Davis"/>
    <x v="3"/>
    <x v="0"/>
    <n v="1248.82"/>
    <n v="2"/>
    <n v="0.1"/>
    <x v="39"/>
    <n v="449.58"/>
  </r>
  <r>
    <s v="CUST012"/>
    <s v="Mary Wilson"/>
    <x v="0"/>
    <x v="1"/>
    <n v="1360.36"/>
    <n v="17"/>
    <n v="0"/>
    <x v="39"/>
    <n v="680.18"/>
  </r>
  <r>
    <s v="CUST021"/>
    <s v="Mary Davis"/>
    <x v="1"/>
    <x v="0"/>
    <n v="1383.3"/>
    <n v="8"/>
    <n v="0.1"/>
    <x v="40"/>
    <n v="497.99"/>
  </r>
  <r>
    <s v="CUST010"/>
    <s v="David Brown"/>
    <x v="4"/>
    <x v="4"/>
    <n v="488.99"/>
    <n v="9"/>
    <n v="0"/>
    <x v="41"/>
    <n v="220.05"/>
  </r>
  <r>
    <s v="CUST026"/>
    <s v="Mary Davis"/>
    <x v="1"/>
    <x v="3"/>
    <n v="933.71"/>
    <n v="17"/>
    <n v="0.1"/>
    <x v="42"/>
    <n v="294.12"/>
  </r>
  <r>
    <s v="CUST003"/>
    <s v="James Davis"/>
    <x v="0"/>
    <x v="2"/>
    <n v="1005.53"/>
    <n v="17"/>
    <n v="0.2"/>
    <x v="42"/>
    <n v="201.11"/>
  </r>
  <r>
    <s v="CUST029"/>
    <s v="Emma Wilson"/>
    <x v="2"/>
    <x v="2"/>
    <n v="1100.0999999999999"/>
    <n v="5"/>
    <n v="0.05"/>
    <x v="43"/>
    <n v="261.27"/>
  </r>
  <r>
    <s v="CUST003"/>
    <s v="James Wilson"/>
    <x v="3"/>
    <x v="3"/>
    <n v="1034.7"/>
    <n v="15"/>
    <n v="0.15"/>
    <x v="44"/>
    <n v="307.82"/>
  </r>
  <r>
    <s v="CUST002"/>
    <s v="Mary Davis"/>
    <x v="2"/>
    <x v="0"/>
    <n v="876.44"/>
    <n v="12"/>
    <n v="0.05"/>
    <x v="45"/>
    <n v="333.05"/>
  </r>
  <r>
    <s v="CUST020"/>
    <s v="David Brown"/>
    <x v="0"/>
    <x v="3"/>
    <n v="1371.34"/>
    <n v="5"/>
    <n v="0.05"/>
    <x v="45"/>
    <n v="455.97"/>
  </r>
  <r>
    <s v="CUST021"/>
    <s v="Mary Jackson"/>
    <x v="3"/>
    <x v="2"/>
    <n v="1020.26"/>
    <n v="11"/>
    <n v="0.05"/>
    <x v="46"/>
    <n v="242.31"/>
  </r>
  <r>
    <s v="CUST008"/>
    <s v="James Davis"/>
    <x v="4"/>
    <x v="4"/>
    <n v="804.81"/>
    <n v="1"/>
    <n v="0.05"/>
    <x v="47"/>
    <n v="344.06"/>
  </r>
  <r>
    <s v="CUST030"/>
    <s v="David Brown"/>
    <x v="4"/>
    <x v="2"/>
    <n v="608.66"/>
    <n v="1"/>
    <n v="0.05"/>
    <x v="48"/>
    <n v="144.56"/>
  </r>
  <r>
    <s v="CUST020"/>
    <s v="Linda Moore"/>
    <x v="2"/>
    <x v="4"/>
    <n v="981.2"/>
    <n v="19"/>
    <n v="0"/>
    <x v="49"/>
    <n v="441.54"/>
  </r>
  <r>
    <s v="CUST024"/>
    <s v="David Brown"/>
    <x v="1"/>
    <x v="2"/>
    <n v="539.77"/>
    <n v="10"/>
    <n v="0.15"/>
    <x v="50"/>
    <n v="114.7"/>
  </r>
  <r>
    <s v="CUST012"/>
    <s v="David Anderson"/>
    <x v="2"/>
    <x v="0"/>
    <n v="804.45"/>
    <n v="5"/>
    <n v="0.2"/>
    <x v="50"/>
    <n v="257.42"/>
  </r>
  <r>
    <s v="CUST024"/>
    <s v="Emma Davis"/>
    <x v="0"/>
    <x v="2"/>
    <n v="1526.6"/>
    <n v="13"/>
    <n v="0.2"/>
    <x v="51"/>
    <n v="305.32"/>
  </r>
  <r>
    <s v="CUST012"/>
    <s v="Linda Wilson"/>
    <x v="0"/>
    <x v="2"/>
    <n v="1215.26"/>
    <n v="5"/>
    <n v="0.15"/>
    <x v="52"/>
    <n v="258.24"/>
  </r>
  <r>
    <s v="CUST005"/>
    <s v="Linda Taylor"/>
    <x v="4"/>
    <x v="3"/>
    <n v="1261.3399999999999"/>
    <n v="3"/>
    <n v="0"/>
    <x v="53"/>
    <n v="441.47"/>
  </r>
  <r>
    <s v="CUST004"/>
    <s v="Lisa Thomas"/>
    <x v="3"/>
    <x v="3"/>
    <n v="518.07000000000005"/>
    <n v="7"/>
    <n v="0.05"/>
    <x v="54"/>
    <n v="172.26"/>
  </r>
  <r>
    <s v="CUST026"/>
    <s v="Linda Wilson"/>
    <x v="0"/>
    <x v="4"/>
    <n v="1111.3399999999999"/>
    <n v="1"/>
    <n v="0"/>
    <x v="55"/>
    <n v="500.1"/>
  </r>
  <r>
    <s v="CUST030"/>
    <s v="Mary Davis"/>
    <x v="1"/>
    <x v="1"/>
    <n v="1291.47"/>
    <n v="18"/>
    <n v="0.1"/>
    <x v="56"/>
    <n v="581.16"/>
  </r>
  <r>
    <s v="CUST007"/>
    <s v="David Brown"/>
    <x v="3"/>
    <x v="0"/>
    <n v="679.71"/>
    <n v="19"/>
    <n v="0"/>
    <x v="57"/>
    <n v="271.88"/>
  </r>
  <r>
    <s v="CUST020"/>
    <s v="Linda Jackson"/>
    <x v="1"/>
    <x v="3"/>
    <n v="1143.69"/>
    <n v="17"/>
    <n v="0"/>
    <x v="57"/>
    <n v="400.29"/>
  </r>
  <r>
    <s v="CUST028"/>
    <s v="Linda Brown"/>
    <x v="4"/>
    <x v="2"/>
    <n v="790.08"/>
    <n v="7"/>
    <n v="0.1"/>
    <x v="58"/>
    <n v="177.77"/>
  </r>
  <r>
    <s v="CUST005"/>
    <s v="Lisa Davis"/>
    <x v="4"/>
    <x v="0"/>
    <n v="1070.68"/>
    <n v="7"/>
    <n v="0.05"/>
    <x v="58"/>
    <n v="406.86"/>
  </r>
  <r>
    <s v="CUST015"/>
    <s v="David Thomas"/>
    <x v="0"/>
    <x v="1"/>
    <n v="1168.8900000000001"/>
    <n v="4"/>
    <n v="0.1"/>
    <x v="59"/>
    <n v="526"/>
  </r>
  <r>
    <s v="CUST003"/>
    <s v="James Davis"/>
    <x v="2"/>
    <x v="2"/>
    <n v="1335.87"/>
    <n v="17"/>
    <n v="0"/>
    <x v="59"/>
    <n v="333.97"/>
  </r>
  <r>
    <s v="CUST023"/>
    <s v="David Brown"/>
    <x v="1"/>
    <x v="3"/>
    <n v="873.7"/>
    <n v="9"/>
    <n v="0"/>
    <x v="60"/>
    <n v="305.8"/>
  </r>
  <r>
    <s v="CUST004"/>
    <s v="Sarah Davis"/>
    <x v="0"/>
    <x v="4"/>
    <n v="1443.98"/>
    <n v="19"/>
    <n v="0"/>
    <x v="61"/>
    <n v="649.79"/>
  </r>
  <r>
    <s v="CUST023"/>
    <s v="James Wilson"/>
    <x v="1"/>
    <x v="4"/>
    <n v="1154.33"/>
    <n v="11"/>
    <n v="0.15"/>
    <x v="62"/>
    <n v="441.53"/>
  </r>
  <r>
    <s v="CUST022"/>
    <s v="Linda Brown"/>
    <x v="2"/>
    <x v="0"/>
    <n v="1264.49"/>
    <n v="16"/>
    <n v="0.05"/>
    <x v="62"/>
    <n v="480.51"/>
  </r>
  <r>
    <s v="CUST007"/>
    <s v="Emma Taylor"/>
    <x v="0"/>
    <x v="3"/>
    <n v="1101.55"/>
    <n v="4"/>
    <n v="0.1"/>
    <x v="63"/>
    <n v="346.99"/>
  </r>
  <r>
    <s v="CUST013"/>
    <s v="Robert Anderson"/>
    <x v="2"/>
    <x v="3"/>
    <n v="727.73"/>
    <n v="1"/>
    <n v="0.1"/>
    <x v="64"/>
    <n v="229.23"/>
  </r>
  <r>
    <s v="CUST027"/>
    <s v="Emma Davis"/>
    <x v="1"/>
    <x v="4"/>
    <n v="875.41"/>
    <n v="13"/>
    <n v="0.15"/>
    <x v="64"/>
    <n v="334.84"/>
  </r>
  <r>
    <s v="CUST003"/>
    <s v="James Wilson"/>
    <x v="0"/>
    <x v="2"/>
    <n v="1158.94"/>
    <n v="19"/>
    <n v="0.2"/>
    <x v="65"/>
    <n v="231.79"/>
  </r>
  <r>
    <s v="CUST018"/>
    <s v="Mary Jackson"/>
    <x v="2"/>
    <x v="0"/>
    <n v="966.3"/>
    <n v="2"/>
    <n v="0.15"/>
    <x v="66"/>
    <n v="328.54"/>
  </r>
  <r>
    <s v="CUST020"/>
    <s v="James Taylor"/>
    <x v="2"/>
    <x v="0"/>
    <n v="917.48"/>
    <n v="6"/>
    <n v="0"/>
    <x v="67"/>
    <n v="366.99"/>
  </r>
  <r>
    <s v="CUST029"/>
    <s v="Emma Wilson"/>
    <x v="0"/>
    <x v="3"/>
    <n v="1172.97"/>
    <n v="7"/>
    <n v="0.15"/>
    <x v="68"/>
    <n v="348.96"/>
  </r>
  <r>
    <s v="CUST021"/>
    <s v="James Wilson"/>
    <x v="3"/>
    <x v="1"/>
    <n v="1205.82"/>
    <n v="11"/>
    <n v="0.1"/>
    <x v="68"/>
    <n v="542.62"/>
  </r>
  <r>
    <s v="CUST017"/>
    <s v="Sarah Davis"/>
    <x v="0"/>
    <x v="4"/>
    <n v="826.93"/>
    <n v="10"/>
    <n v="0.2"/>
    <x v="69"/>
    <n v="297.69"/>
  </r>
  <r>
    <s v="CUST003"/>
    <s v="James Wilson"/>
    <x v="4"/>
    <x v="1"/>
    <n v="902.19"/>
    <n v="12"/>
    <n v="0"/>
    <x v="69"/>
    <n v="451.1"/>
  </r>
  <r>
    <s v="CUST027"/>
    <s v="Emma Davis"/>
    <x v="3"/>
    <x v="0"/>
    <n v="585.97"/>
    <n v="17"/>
    <n v="0.1"/>
    <x v="70"/>
    <n v="210.95"/>
  </r>
  <r>
    <s v="CUST016"/>
    <s v="Michael Anderson"/>
    <x v="3"/>
    <x v="1"/>
    <n v="990.19"/>
    <n v="8"/>
    <n v="0.1"/>
    <x v="70"/>
    <n v="445.59"/>
  </r>
  <r>
    <s v="CUST008"/>
    <s v="David Davis"/>
    <x v="4"/>
    <x v="2"/>
    <n v="1014.09"/>
    <n v="13"/>
    <n v="0.2"/>
    <x v="71"/>
    <n v="202.82"/>
  </r>
  <r>
    <s v="CUST012"/>
    <s v="Lisa Davis"/>
    <x v="3"/>
    <x v="2"/>
    <n v="925.29"/>
    <n v="17"/>
    <n v="0"/>
    <x v="72"/>
    <n v="231.32"/>
  </r>
  <r>
    <s v="CUST025"/>
    <s v="Mary Jackson"/>
    <x v="1"/>
    <x v="3"/>
    <n v="1286.54"/>
    <n v="8"/>
    <n v="0"/>
    <x v="73"/>
    <n v="450.29"/>
  </r>
  <r>
    <s v="CUST014"/>
    <s v="Sarah Davis"/>
    <x v="2"/>
    <x v="0"/>
    <n v="961.62"/>
    <n v="8"/>
    <n v="0.2"/>
    <x v="74"/>
    <n v="307.72000000000003"/>
  </r>
  <r>
    <s v="CUST008"/>
    <s v="James Wilson"/>
    <x v="1"/>
    <x v="0"/>
    <n v="1081.1400000000001"/>
    <n v="19"/>
    <n v="0.15"/>
    <x v="74"/>
    <n v="367.59"/>
  </r>
  <r>
    <s v="CUST015"/>
    <s v="James Wilson"/>
    <x v="0"/>
    <x v="1"/>
    <n v="1923.66"/>
    <n v="9"/>
    <n v="0.2"/>
    <x v="75"/>
    <n v="769.46"/>
  </r>
  <r>
    <s v="CUST025"/>
    <s v="Emma Taylor"/>
    <x v="4"/>
    <x v="1"/>
    <n v="728.71"/>
    <n v="14"/>
    <n v="0.1"/>
    <x v="76"/>
    <n v="327.92"/>
  </r>
  <r>
    <s v="CUST019"/>
    <s v="Linda Jackson"/>
    <x v="4"/>
    <x v="1"/>
    <n v="1301.8900000000001"/>
    <n v="7"/>
    <n v="0.15"/>
    <x v="76"/>
    <n v="553.29999999999995"/>
  </r>
  <r>
    <s v="CUST024"/>
    <s v="Emma Taylor"/>
    <x v="1"/>
    <x v="0"/>
    <n v="980.18"/>
    <n v="16"/>
    <n v="0.1"/>
    <x v="77"/>
    <n v="352.86"/>
  </r>
  <r>
    <s v="CUST027"/>
    <s v="James Wilson"/>
    <x v="0"/>
    <x v="1"/>
    <n v="697.57"/>
    <n v="17"/>
    <n v="0.1"/>
    <x v="78"/>
    <n v="313.91000000000003"/>
  </r>
  <r>
    <s v="CUST006"/>
    <s v="David Anderson"/>
    <x v="0"/>
    <x v="3"/>
    <n v="1193.6099999999999"/>
    <n v="1"/>
    <n v="0.15"/>
    <x v="78"/>
    <n v="355.1"/>
  </r>
  <r>
    <s v="CUST009"/>
    <s v="Emma Davis"/>
    <x v="2"/>
    <x v="2"/>
    <n v="771.02"/>
    <n v="1"/>
    <n v="0"/>
    <x v="79"/>
    <n v="192.76"/>
  </r>
  <r>
    <s v="CUST003"/>
    <s v="Linda Moore"/>
    <x v="3"/>
    <x v="1"/>
    <n v="661.09"/>
    <n v="1"/>
    <n v="0.2"/>
    <x v="80"/>
    <n v="264.44"/>
  </r>
  <r>
    <s v="CUST012"/>
    <s v="David Brown"/>
    <x v="0"/>
    <x v="2"/>
    <n v="688.83"/>
    <n v="15"/>
    <n v="0"/>
    <x v="81"/>
    <n v="172.21"/>
  </r>
  <r>
    <s v="CUST013"/>
    <s v="Linda Wilson"/>
    <x v="4"/>
    <x v="0"/>
    <n v="1249.0999999999999"/>
    <n v="4"/>
    <n v="0.05"/>
    <x v="82"/>
    <n v="474.66"/>
  </r>
  <r>
    <s v="CUST008"/>
    <s v="James Wilson"/>
    <x v="1"/>
    <x v="4"/>
    <n v="1014.22"/>
    <n v="14"/>
    <n v="0.05"/>
    <x v="83"/>
    <n v="433.58"/>
  </r>
  <r>
    <s v="CUST025"/>
    <s v="Lisa Davis"/>
    <x v="1"/>
    <x v="0"/>
    <n v="1010.58"/>
    <n v="2"/>
    <n v="0.15"/>
    <x v="84"/>
    <n v="343.6"/>
  </r>
  <r>
    <s v="CUST026"/>
    <s v="Mary Wilson"/>
    <x v="3"/>
    <x v="3"/>
    <n v="957.29"/>
    <n v="4"/>
    <n v="0.05"/>
    <x v="84"/>
    <n v="318.3"/>
  </r>
  <r>
    <s v="CUST001"/>
    <s v="Lisa Thomas"/>
    <x v="3"/>
    <x v="3"/>
    <n v="1077.92"/>
    <n v="3"/>
    <n v="0.05"/>
    <x v="85"/>
    <n v="358.41"/>
  </r>
  <r>
    <s v="CUST028"/>
    <s v="Linda Brown"/>
    <x v="2"/>
    <x v="1"/>
    <n v="1163.01"/>
    <n v="5"/>
    <n v="0"/>
    <x v="86"/>
    <n v="581.5"/>
  </r>
  <r>
    <s v="CUST025"/>
    <s v="Lisa Thomas"/>
    <x v="1"/>
    <x v="4"/>
    <n v="1014.56"/>
    <n v="10"/>
    <n v="0.1"/>
    <x v="87"/>
    <n v="410.9"/>
  </r>
  <r>
    <s v="CUST019"/>
    <s v="James Taylor"/>
    <x v="2"/>
    <x v="2"/>
    <n v="718.04"/>
    <n v="14"/>
    <n v="0"/>
    <x v="88"/>
    <n v="179.51"/>
  </r>
  <r>
    <s v="CUST004"/>
    <s v="James Taylor"/>
    <x v="4"/>
    <x v="1"/>
    <n v="1277.8499999999999"/>
    <n v="18"/>
    <n v="0.2"/>
    <x v="88"/>
    <n v="511.14"/>
  </r>
  <r>
    <s v="CUST024"/>
    <s v="James Wilson"/>
    <x v="3"/>
    <x v="2"/>
    <n v="706.73"/>
    <n v="1"/>
    <n v="0.15"/>
    <x v="88"/>
    <n v="150.18"/>
  </r>
  <r>
    <s v="CUST002"/>
    <s v="Linda Brown"/>
    <x v="1"/>
    <x v="2"/>
    <n v="1410.59"/>
    <n v="15"/>
    <n v="0"/>
    <x v="89"/>
    <n v="352.65"/>
  </r>
  <r>
    <s v="CUST009"/>
    <s v="Emma Wilson"/>
    <x v="2"/>
    <x v="3"/>
    <n v="1350.33"/>
    <n v="10"/>
    <n v="0"/>
    <x v="89"/>
    <n v="472.62"/>
  </r>
  <r>
    <s v="CUST029"/>
    <s v="Lisa Thomas"/>
    <x v="1"/>
    <x v="2"/>
    <n v="919.18"/>
    <n v="4"/>
    <n v="0.15"/>
    <x v="89"/>
    <n v="195.33"/>
  </r>
  <r>
    <s v="CUST027"/>
    <s v="James Wilson"/>
    <x v="0"/>
    <x v="2"/>
    <n v="258.51"/>
    <n v="19"/>
    <n v="0"/>
    <x v="90"/>
    <n v="64.63"/>
  </r>
  <r>
    <s v="CUST011"/>
    <s v="Emma Wilson"/>
    <x v="1"/>
    <x v="0"/>
    <n v="1213.48"/>
    <n v="5"/>
    <n v="0.05"/>
    <x v="90"/>
    <n v="461.12"/>
  </r>
  <r>
    <s v="CUST021"/>
    <s v="Emma Davis"/>
    <x v="4"/>
    <x v="0"/>
    <n v="1150.28"/>
    <n v="8"/>
    <n v="0.05"/>
    <x v="91"/>
    <n v="437.11"/>
  </r>
  <r>
    <s v="CUST014"/>
    <s v="David Anderson"/>
    <x v="2"/>
    <x v="3"/>
    <n v="853.86"/>
    <n v="8"/>
    <n v="0.1"/>
    <x v="91"/>
    <n v="268.97000000000003"/>
  </r>
  <r>
    <s v="CUST018"/>
    <s v="Lisa Thomas"/>
    <x v="2"/>
    <x v="2"/>
    <n v="1061.04"/>
    <n v="1"/>
    <n v="0"/>
    <x v="92"/>
    <n v="265.26"/>
  </r>
  <r>
    <s v="CUST001"/>
    <s v="Sarah Anderson"/>
    <x v="0"/>
    <x v="2"/>
    <n v="894.55"/>
    <n v="19"/>
    <n v="0.2"/>
    <x v="93"/>
    <n v="178.91"/>
  </r>
  <r>
    <s v="CUST007"/>
    <s v="Emma Davis"/>
    <x v="3"/>
    <x v="4"/>
    <n v="833.91"/>
    <n v="3"/>
    <n v="0.05"/>
    <x v="94"/>
    <n v="356.5"/>
  </r>
  <r>
    <s v="CUST015"/>
    <s v="David Anderson"/>
    <x v="0"/>
    <x v="3"/>
    <n v="820.19"/>
    <n v="4"/>
    <n v="0.2"/>
    <x v="95"/>
    <n v="229.65"/>
  </r>
  <r>
    <s v="CUST015"/>
    <s v="Emma Davis"/>
    <x v="4"/>
    <x v="2"/>
    <n v="511.74"/>
    <n v="8"/>
    <n v="0.05"/>
    <x v="96"/>
    <n v="121.54"/>
  </r>
  <r>
    <s v="CUST002"/>
    <s v="Emma Wilson"/>
    <x v="2"/>
    <x v="3"/>
    <n v="806.03"/>
    <n v="19"/>
    <n v="0.05"/>
    <x v="97"/>
    <n v="268"/>
  </r>
  <r>
    <s v="CUST001"/>
    <s v="Michael Anderson"/>
    <x v="4"/>
    <x v="3"/>
    <n v="1432.47"/>
    <n v="16"/>
    <n v="0.15"/>
    <x v="98"/>
    <n v="426.16"/>
  </r>
  <r>
    <s v="CUST027"/>
    <s v="Linda Wilson"/>
    <x v="4"/>
    <x v="2"/>
    <n v="1488.58"/>
    <n v="10"/>
    <n v="0.15"/>
    <x v="98"/>
    <n v="316.32"/>
  </r>
  <r>
    <s v="CUST026"/>
    <s v="Emma Taylor"/>
    <x v="1"/>
    <x v="0"/>
    <n v="1231.26"/>
    <n v="9"/>
    <n v="0"/>
    <x v="99"/>
    <n v="492.5"/>
  </r>
  <r>
    <s v="CUST026"/>
    <s v="Sarah Anderson"/>
    <x v="0"/>
    <x v="2"/>
    <n v="1161.67"/>
    <n v="19"/>
    <n v="0.2"/>
    <x v="100"/>
    <n v="232.33"/>
  </r>
  <r>
    <s v="CUST022"/>
    <s v="Lisa Thomas"/>
    <x v="4"/>
    <x v="4"/>
    <n v="388.23"/>
    <n v="16"/>
    <n v="0.05"/>
    <x v="101"/>
    <n v="165.97"/>
  </r>
  <r>
    <s v="CUST004"/>
    <s v="Mary Davis"/>
    <x v="3"/>
    <x v="1"/>
    <n v="1589.42"/>
    <n v="6"/>
    <n v="0.15"/>
    <x v="102"/>
    <n v="675.5"/>
  </r>
  <r>
    <s v="CUST001"/>
    <s v="David Anderson"/>
    <x v="3"/>
    <x v="1"/>
    <n v="336.66"/>
    <n v="13"/>
    <n v="0.2"/>
    <x v="102"/>
    <n v="134.66"/>
  </r>
  <r>
    <s v="CUST022"/>
    <s v="James Wilson"/>
    <x v="0"/>
    <x v="0"/>
    <n v="1353.79"/>
    <n v="14"/>
    <n v="0.1"/>
    <x v="103"/>
    <n v="487.36"/>
  </r>
  <r>
    <s v="CUST011"/>
    <s v="Linda Moore"/>
    <x v="4"/>
    <x v="1"/>
    <n v="662.61"/>
    <n v="11"/>
    <n v="0.05"/>
    <x v="104"/>
    <n v="314.74"/>
  </r>
  <r>
    <s v="CUST028"/>
    <s v="Lisa Davis"/>
    <x v="3"/>
    <x v="4"/>
    <n v="309.42"/>
    <n v="1"/>
    <n v="0.2"/>
    <x v="104"/>
    <n v="111.39"/>
  </r>
  <r>
    <s v="CUST011"/>
    <s v="Linda Wilson"/>
    <x v="3"/>
    <x v="0"/>
    <n v="884.63"/>
    <n v="18"/>
    <n v="0.1"/>
    <x v="105"/>
    <n v="318.47000000000003"/>
  </r>
  <r>
    <s v="CUST028"/>
    <s v="James Wilson"/>
    <x v="4"/>
    <x v="4"/>
    <n v="745.05"/>
    <n v="10"/>
    <n v="0.1"/>
    <x v="106"/>
    <n v="301.75"/>
  </r>
  <r>
    <s v="CUST016"/>
    <s v="James Taylor"/>
    <x v="2"/>
    <x v="1"/>
    <n v="870.23"/>
    <n v="5"/>
    <n v="0.05"/>
    <x v="106"/>
    <n v="413.36"/>
  </r>
  <r>
    <s v="CUST010"/>
    <s v="Linda Wilson"/>
    <x v="0"/>
    <x v="3"/>
    <n v="862.19"/>
    <n v="18"/>
    <n v="0.05"/>
    <x v="107"/>
    <n v="286.68"/>
  </r>
  <r>
    <s v="CUST013"/>
    <s v="Mary Wilson"/>
    <x v="3"/>
    <x v="1"/>
    <n v="1171.18"/>
    <n v="19"/>
    <n v="0.05"/>
    <x v="108"/>
    <n v="556.30999999999995"/>
  </r>
  <r>
    <s v="CUST015"/>
    <s v="Robert Anderson"/>
    <x v="2"/>
    <x v="3"/>
    <n v="1054.56"/>
    <n v="11"/>
    <n v="0.1"/>
    <x v="109"/>
    <n v="332.19"/>
  </r>
  <r>
    <s v="CUST015"/>
    <s v="James Wilson"/>
    <x v="3"/>
    <x v="2"/>
    <n v="1681.21"/>
    <n v="5"/>
    <n v="0.2"/>
    <x v="110"/>
    <n v="336.24"/>
  </r>
  <r>
    <s v="CUST015"/>
    <s v="David Thomas"/>
    <x v="0"/>
    <x v="1"/>
    <n v="379.77"/>
    <n v="9"/>
    <n v="0.05"/>
    <x v="111"/>
    <n v="180.39"/>
  </r>
  <r>
    <s v="CUST008"/>
    <s v="Lisa Thomas"/>
    <x v="4"/>
    <x v="1"/>
    <n v="1076.33"/>
    <n v="2"/>
    <n v="0.1"/>
    <x v="112"/>
    <n v="484.35"/>
  </r>
  <r>
    <s v="CUST008"/>
    <s v="Mary Davis"/>
    <x v="4"/>
    <x v="4"/>
    <n v="1250.71"/>
    <n v="7"/>
    <n v="0"/>
    <x v="112"/>
    <n v="562.82000000000005"/>
  </r>
  <r>
    <s v="CUST023"/>
    <s v="James Taylor"/>
    <x v="2"/>
    <x v="1"/>
    <n v="1118.3399999999999"/>
    <n v="6"/>
    <n v="0.2"/>
    <x v="112"/>
    <n v="447.34"/>
  </r>
  <r>
    <s v="CUST024"/>
    <s v="Linda Taylor"/>
    <x v="3"/>
    <x v="1"/>
    <n v="1622.62"/>
    <n v="12"/>
    <n v="0.2"/>
    <x v="113"/>
    <n v="649.04999999999995"/>
  </r>
  <r>
    <s v="CUST018"/>
    <s v="Lisa Davis"/>
    <x v="3"/>
    <x v="0"/>
    <n v="640.64"/>
    <n v="11"/>
    <n v="0.2"/>
    <x v="114"/>
    <n v="205"/>
  </r>
  <r>
    <s v="CUST030"/>
    <s v="Sarah Anderson"/>
    <x v="0"/>
    <x v="1"/>
    <n v="585.16"/>
    <n v="17"/>
    <n v="0.1"/>
    <x v="115"/>
    <n v="263.32"/>
  </r>
  <r>
    <s v="CUST030"/>
    <s v="Mary Davis"/>
    <x v="1"/>
    <x v="1"/>
    <n v="1109.98"/>
    <n v="5"/>
    <n v="0.2"/>
    <x v="116"/>
    <n v="443.99"/>
  </r>
  <r>
    <s v="CUST015"/>
    <s v="Lisa Thomas"/>
    <x v="1"/>
    <x v="0"/>
    <n v="1098.08"/>
    <n v="9"/>
    <n v="0.1"/>
    <x v="117"/>
    <n v="395.31"/>
  </r>
  <r>
    <s v="CUST002"/>
    <s v="Lisa Davis"/>
    <x v="0"/>
    <x v="4"/>
    <n v="827.25"/>
    <n v="7"/>
    <n v="0.1"/>
    <x v="118"/>
    <n v="335.04"/>
  </r>
  <r>
    <s v="CUST024"/>
    <s v="Linda Wilson"/>
    <x v="4"/>
    <x v="1"/>
    <n v="741.88"/>
    <n v="16"/>
    <n v="0.1"/>
    <x v="119"/>
    <n v="333.85"/>
  </r>
  <r>
    <s v="CUST004"/>
    <s v="James Davis"/>
    <x v="1"/>
    <x v="4"/>
    <n v="1311.26"/>
    <n v="6"/>
    <n v="0.1"/>
    <x v="120"/>
    <n v="531.05999999999995"/>
  </r>
  <r>
    <s v="CUST004"/>
    <s v="Mary Davis"/>
    <x v="2"/>
    <x v="4"/>
    <n v="573.32000000000005"/>
    <n v="19"/>
    <n v="0.1"/>
    <x v="121"/>
    <n v="232.19"/>
  </r>
  <r>
    <s v="CUST028"/>
    <s v="James Wilson"/>
    <x v="0"/>
    <x v="2"/>
    <n v="1115.22"/>
    <n v="14"/>
    <n v="0.2"/>
    <x v="122"/>
    <n v="223.04"/>
  </r>
  <r>
    <s v="CUST012"/>
    <s v="Lisa Thomas"/>
    <x v="3"/>
    <x v="1"/>
    <n v="845.84"/>
    <n v="4"/>
    <n v="0"/>
    <x v="123"/>
    <n v="422.92"/>
  </r>
  <r>
    <s v="CUST026"/>
    <s v="David Brown"/>
    <x v="0"/>
    <x v="2"/>
    <n v="1029.8"/>
    <n v="3"/>
    <n v="0"/>
    <x v="124"/>
    <n v="257.45"/>
  </r>
  <r>
    <s v="CUST009"/>
    <s v="Mary Davis"/>
    <x v="3"/>
    <x v="0"/>
    <n v="1189.83"/>
    <n v="2"/>
    <n v="0.2"/>
    <x v="125"/>
    <n v="380.75"/>
  </r>
  <r>
    <s v="CUST003"/>
    <s v="Sarah Anderson"/>
    <x v="2"/>
    <x v="0"/>
    <n v="704.28"/>
    <n v="15"/>
    <n v="0.2"/>
    <x v="126"/>
    <n v="225.37"/>
  </r>
  <r>
    <s v="CUST002"/>
    <s v="Mary Jackson"/>
    <x v="4"/>
    <x v="4"/>
    <n v="1618.22"/>
    <n v="12"/>
    <n v="0.2"/>
    <x v="126"/>
    <n v="582.55999999999995"/>
  </r>
  <r>
    <s v="CUST013"/>
    <s v="Linda Taylor"/>
    <x v="4"/>
    <x v="0"/>
    <n v="1014.43"/>
    <n v="2"/>
    <n v="0.15"/>
    <x v="127"/>
    <n v="344.91"/>
  </r>
  <r>
    <s v="CUST018"/>
    <s v="Mary Davis"/>
    <x v="4"/>
    <x v="1"/>
    <n v="826.97"/>
    <n v="18"/>
    <n v="0.2"/>
    <x v="128"/>
    <n v="330.79"/>
  </r>
  <r>
    <s v="CUST017"/>
    <s v="Mary Davis"/>
    <x v="4"/>
    <x v="1"/>
    <n v="1022.23"/>
    <n v="8"/>
    <n v="0.1"/>
    <x v="129"/>
    <n v="460"/>
  </r>
  <r>
    <s v="CUST004"/>
    <s v="Linda Wilson"/>
    <x v="1"/>
    <x v="0"/>
    <n v="1099.69"/>
    <n v="6"/>
    <n v="0"/>
    <x v="130"/>
    <n v="439.88"/>
  </r>
  <r>
    <s v="CUST028"/>
    <s v="Sarah Davis"/>
    <x v="3"/>
    <x v="0"/>
    <n v="710.52"/>
    <n v="8"/>
    <n v="0.1"/>
    <x v="131"/>
    <n v="255.79"/>
  </r>
  <r>
    <s v="CUST028"/>
    <s v="Mary Wilson"/>
    <x v="3"/>
    <x v="0"/>
    <n v="499.18"/>
    <n v="15"/>
    <n v="0.2"/>
    <x v="132"/>
    <n v="159.74"/>
  </r>
  <r>
    <s v="CUST014"/>
    <s v="Emma Davis"/>
    <x v="2"/>
    <x v="0"/>
    <n v="1064.19"/>
    <n v="18"/>
    <n v="0.05"/>
    <x v="133"/>
    <n v="404.39"/>
  </r>
  <r>
    <s v="CUST003"/>
    <s v="Emma Davis"/>
    <x v="1"/>
    <x v="4"/>
    <n v="438.76"/>
    <n v="18"/>
    <n v="0.05"/>
    <x v="134"/>
    <n v="187.57"/>
  </r>
  <r>
    <s v="CUST029"/>
    <s v="David Brown"/>
    <x v="0"/>
    <x v="1"/>
    <n v="864.98"/>
    <n v="2"/>
    <n v="0.05"/>
    <x v="135"/>
    <n v="410.87"/>
  </r>
  <r>
    <s v="CUST021"/>
    <s v="David Brown"/>
    <x v="0"/>
    <x v="3"/>
    <n v="984.93"/>
    <n v="14"/>
    <n v="0.2"/>
    <x v="136"/>
    <n v="275.77999999999997"/>
  </r>
  <r>
    <s v="CUST007"/>
    <s v="David Brown"/>
    <x v="0"/>
    <x v="1"/>
    <n v="1493.49"/>
    <n v="18"/>
    <n v="0"/>
    <x v="137"/>
    <n v="746.74"/>
  </r>
  <r>
    <s v="CUST009"/>
    <s v="Linda Taylor"/>
    <x v="2"/>
    <x v="1"/>
    <n v="689.43"/>
    <n v="9"/>
    <n v="0.1"/>
    <x v="138"/>
    <n v="310.24"/>
  </r>
  <r>
    <s v="CUST023"/>
    <s v="Mary Wilson"/>
    <x v="2"/>
    <x v="1"/>
    <n v="682.24"/>
    <n v="1"/>
    <n v="0"/>
    <x v="139"/>
    <n v="341.12"/>
  </r>
  <r>
    <s v="CUST029"/>
    <s v="Michael Anderson"/>
    <x v="3"/>
    <x v="2"/>
    <n v="458.54"/>
    <n v="15"/>
    <n v="0.2"/>
    <x v="140"/>
    <n v="91.71"/>
  </r>
  <r>
    <s v="CUST009"/>
    <s v="Michael Anderson"/>
    <x v="2"/>
    <x v="3"/>
    <n v="1184.25"/>
    <n v="11"/>
    <n v="0.2"/>
    <x v="141"/>
    <n v="331.59"/>
  </r>
  <r>
    <s v="CUST007"/>
    <s v="James Davis"/>
    <x v="2"/>
    <x v="1"/>
    <n v="762.14"/>
    <n v="9"/>
    <n v="0"/>
    <x v="142"/>
    <n v="381.07"/>
  </r>
  <r>
    <s v="CUST030"/>
    <s v="Linda Taylor"/>
    <x v="3"/>
    <x v="0"/>
    <n v="750.71"/>
    <n v="10"/>
    <n v="0.15"/>
    <x v="142"/>
    <n v="255.24"/>
  </r>
  <r>
    <s v="CUST018"/>
    <s v="David Anderson"/>
    <x v="4"/>
    <x v="1"/>
    <n v="1456.94"/>
    <n v="14"/>
    <n v="0.05"/>
    <x v="143"/>
    <n v="692.05"/>
  </r>
  <r>
    <s v="CUST008"/>
    <s v="Emma Wilson"/>
    <x v="1"/>
    <x v="3"/>
    <n v="1093.3800000000001"/>
    <n v="17"/>
    <n v="0.1"/>
    <x v="143"/>
    <n v="344.41"/>
  </r>
  <r>
    <s v="CUST014"/>
    <s v="Sarah Anderson"/>
    <x v="0"/>
    <x v="1"/>
    <n v="934.27"/>
    <n v="8"/>
    <n v="0.15"/>
    <x v="144"/>
    <n v="397.06"/>
  </r>
  <r>
    <s v="CUST024"/>
    <s v="David Thomas"/>
    <x v="4"/>
    <x v="1"/>
    <n v="1465.35"/>
    <n v="8"/>
    <n v="0.2"/>
    <x v="144"/>
    <n v="586.14"/>
  </r>
  <r>
    <s v="CUST028"/>
    <s v="Robert Anderson"/>
    <x v="2"/>
    <x v="4"/>
    <n v="740.8"/>
    <n v="3"/>
    <n v="0"/>
    <x v="145"/>
    <n v="333.36"/>
  </r>
  <r>
    <s v="CUST015"/>
    <s v="Sarah Anderson"/>
    <x v="0"/>
    <x v="4"/>
    <n v="545.44000000000005"/>
    <n v="17"/>
    <n v="0"/>
    <x v="146"/>
    <n v="245.45"/>
  </r>
  <r>
    <s v="CUST010"/>
    <s v="David Thomas"/>
    <x v="1"/>
    <x v="0"/>
    <n v="997.61"/>
    <n v="8"/>
    <n v="0.05"/>
    <x v="146"/>
    <n v="379.09"/>
  </r>
  <r>
    <s v="CUST016"/>
    <s v="David Thomas"/>
    <x v="2"/>
    <x v="1"/>
    <n v="928.32"/>
    <n v="2"/>
    <n v="0.05"/>
    <x v="147"/>
    <n v="440.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5D6171-2D6A-4AAD-B5D5-D281D239B997}" name="PivotTable1" cacheId="4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G10" firstHeaderRow="1" firstDataRow="2" firstDataCol="1"/>
  <pivotFields count="9"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numFmtId="14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4" baseField="0" baseItem="0" numFmtId="164"/>
  </dataFields>
  <formats count="2">
    <format dxfId="2">
      <pivotArea dataOnly="0" labelOnly="1" fieldPosition="0">
        <references count="1">
          <reference field="3" count="1">
            <x v="0"/>
          </reference>
        </references>
      </pivotArea>
    </format>
    <format dxfId="3">
      <pivotArea outline="0" collapsedLevelsAreSubtotals="1" fieldPosition="0"/>
    </format>
  </format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42D0A-150E-460A-8D34-5145DB7A0AE8}">
  <dimension ref="A3:G10"/>
  <sheetViews>
    <sheetView workbookViewId="0">
      <selection activeCell="H9" sqref="H9"/>
    </sheetView>
  </sheetViews>
  <sheetFormatPr defaultRowHeight="14.45"/>
  <cols>
    <col min="1" max="1" width="12.42578125" bestFit="1" customWidth="1"/>
    <col min="2" max="2" width="15.42578125" customWidth="1"/>
    <col min="3" max="5" width="11" bestFit="1" customWidth="1"/>
    <col min="6" max="6" width="13.85546875" bestFit="1" customWidth="1"/>
    <col min="7" max="7" width="12" bestFit="1" customWidth="1"/>
  </cols>
  <sheetData>
    <row r="3" spans="1:7">
      <c r="A3" s="5" t="s">
        <v>0</v>
      </c>
      <c r="B3" s="5" t="s">
        <v>1</v>
      </c>
    </row>
    <row r="4" spans="1:7">
      <c r="A4" s="5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>
      <c r="A5" s="6" t="s">
        <v>9</v>
      </c>
      <c r="B5" s="7">
        <v>11297.150000000001</v>
      </c>
      <c r="C5" s="7">
        <v>12200.26</v>
      </c>
      <c r="D5" s="7">
        <v>6621.24</v>
      </c>
      <c r="E5" s="7">
        <v>4876.96</v>
      </c>
      <c r="F5" s="7">
        <v>8472.7199999999993</v>
      </c>
      <c r="G5" s="7">
        <v>43468.33</v>
      </c>
    </row>
    <row r="6" spans="1:7">
      <c r="A6" s="6" t="s">
        <v>10</v>
      </c>
      <c r="B6" s="7">
        <v>11389.090000000002</v>
      </c>
      <c r="C6" s="7">
        <v>2401.4499999999998</v>
      </c>
      <c r="D6" s="7">
        <v>2869.54</v>
      </c>
      <c r="E6" s="7">
        <v>7592.3399999999992</v>
      </c>
      <c r="F6" s="7">
        <v>8189.2200000000012</v>
      </c>
      <c r="G6" s="7">
        <v>32441.640000000003</v>
      </c>
    </row>
    <row r="7" spans="1:7">
      <c r="A7" s="6" t="s">
        <v>11</v>
      </c>
      <c r="B7" s="7">
        <v>8037.0100000000011</v>
      </c>
      <c r="C7" s="7">
        <v>8422.82</v>
      </c>
      <c r="D7" s="7">
        <v>8191.7099999999991</v>
      </c>
      <c r="E7" s="7">
        <v>6978.08</v>
      </c>
      <c r="F7" s="7">
        <v>3345.8</v>
      </c>
      <c r="G7" s="7">
        <v>34975.420000000006</v>
      </c>
    </row>
    <row r="8" spans="1:7">
      <c r="A8" s="6" t="s">
        <v>12</v>
      </c>
      <c r="B8" s="7">
        <v>9588.0400000000009</v>
      </c>
      <c r="C8" s="7">
        <v>8393.630000000001</v>
      </c>
      <c r="D8" s="7">
        <v>11989.070000000003</v>
      </c>
      <c r="E8" s="7">
        <v>7982.73</v>
      </c>
      <c r="F8" s="7">
        <v>2295.3199999999997</v>
      </c>
      <c r="G8" s="7">
        <v>40248.79</v>
      </c>
    </row>
    <row r="9" spans="1:7">
      <c r="A9" s="6" t="s">
        <v>13</v>
      </c>
      <c r="B9" s="7">
        <v>6691.17</v>
      </c>
      <c r="C9" s="7">
        <v>10509.429999999998</v>
      </c>
      <c r="D9" s="7">
        <v>11372.44</v>
      </c>
      <c r="E9" s="7">
        <v>9182.7800000000007</v>
      </c>
      <c r="F9" s="7">
        <v>6327.76</v>
      </c>
      <c r="G9" s="7">
        <v>44083.58</v>
      </c>
    </row>
    <row r="10" spans="1:7">
      <c r="A10" s="6" t="s">
        <v>8</v>
      </c>
      <c r="B10" s="7">
        <v>47002.460000000006</v>
      </c>
      <c r="C10" s="7">
        <v>41927.589999999997</v>
      </c>
      <c r="D10" s="7">
        <v>41044</v>
      </c>
      <c r="E10" s="7">
        <v>36612.89</v>
      </c>
      <c r="F10" s="7">
        <v>28630.82</v>
      </c>
      <c r="G10" s="7">
        <v>195217.76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35B77-A0CD-4C34-B6AD-93AA2464160F}">
  <dimension ref="A1:B16"/>
  <sheetViews>
    <sheetView workbookViewId="0">
      <selection activeCell="F7" sqref="F7"/>
    </sheetView>
  </sheetViews>
  <sheetFormatPr defaultRowHeight="14.45"/>
  <cols>
    <col min="1" max="1" width="12" customWidth="1"/>
    <col min="2" max="2" width="15.7109375" customWidth="1"/>
  </cols>
  <sheetData>
    <row r="1" spans="1:2">
      <c r="A1" s="14" t="s">
        <v>14</v>
      </c>
      <c r="B1" s="14"/>
    </row>
    <row r="3" spans="1:2">
      <c r="A3" t="s">
        <v>15</v>
      </c>
      <c r="B3">
        <v>976.08879999999965</v>
      </c>
    </row>
    <row r="4" spans="1:2">
      <c r="A4" t="s">
        <v>16</v>
      </c>
      <c r="B4">
        <v>21.161850448978406</v>
      </c>
    </row>
    <row r="5" spans="1:2">
      <c r="A5" t="s">
        <v>17</v>
      </c>
      <c r="B5">
        <v>976.72</v>
      </c>
    </row>
    <row r="6" spans="1:2">
      <c r="A6" t="s">
        <v>18</v>
      </c>
      <c r="B6" t="s">
        <v>19</v>
      </c>
    </row>
    <row r="7" spans="1:2">
      <c r="A7" t="s">
        <v>20</v>
      </c>
      <c r="B7">
        <v>299.27375909856431</v>
      </c>
    </row>
    <row r="8" spans="1:2">
      <c r="A8" t="s">
        <v>21</v>
      </c>
      <c r="B8">
        <v>89564.782884985514</v>
      </c>
    </row>
    <row r="9" spans="1:2">
      <c r="A9" t="s">
        <v>22</v>
      </c>
      <c r="B9">
        <v>-8.8595231919740502E-2</v>
      </c>
    </row>
    <row r="10" spans="1:2">
      <c r="A10" t="s">
        <v>23</v>
      </c>
      <c r="B10">
        <v>0.14685796564193557</v>
      </c>
    </row>
    <row r="11" spans="1:2">
      <c r="A11" t="s">
        <v>24</v>
      </c>
      <c r="B11">
        <v>1665.15</v>
      </c>
    </row>
    <row r="12" spans="1:2">
      <c r="A12" t="s">
        <v>25</v>
      </c>
      <c r="B12">
        <v>258.51</v>
      </c>
    </row>
    <row r="13" spans="1:2">
      <c r="A13" t="s">
        <v>26</v>
      </c>
      <c r="B13">
        <v>1923.66</v>
      </c>
    </row>
    <row r="14" spans="1:2">
      <c r="A14" t="s">
        <v>27</v>
      </c>
      <c r="B14">
        <v>195217.75999999992</v>
      </c>
    </row>
    <row r="15" spans="1:2" ht="15" thickBot="1">
      <c r="A15" s="12" t="s">
        <v>28</v>
      </c>
      <c r="B15" s="12">
        <v>200</v>
      </c>
    </row>
    <row r="16" spans="1:2">
      <c r="B1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69F56-1A20-4DB8-9BE4-E77C2E54F0BB}">
  <dimension ref="A1:L201"/>
  <sheetViews>
    <sheetView zoomScale="98" workbookViewId="0">
      <selection activeCell="N4" sqref="N4"/>
    </sheetView>
  </sheetViews>
  <sheetFormatPr defaultRowHeight="14.45"/>
  <cols>
    <col min="2" max="2" width="12.42578125" customWidth="1"/>
    <col min="3" max="3" width="14.7109375" customWidth="1"/>
    <col min="6" max="6" width="13.85546875" customWidth="1"/>
    <col min="8" max="8" width="10.7109375" customWidth="1"/>
    <col min="9" max="9" width="11" customWidth="1"/>
  </cols>
  <sheetData>
    <row r="1" spans="1:12">
      <c r="A1" t="s">
        <v>29</v>
      </c>
      <c r="L1" s="15" t="s">
        <v>30</v>
      </c>
    </row>
    <row r="2" spans="1:12" ht="15" thickBot="1">
      <c r="L2">
        <f>$B$17+$B$18*Sheet1!E2</f>
        <v>362.48683031889334</v>
      </c>
    </row>
    <row r="3" spans="1:12">
      <c r="A3" s="14" t="s">
        <v>31</v>
      </c>
      <c r="B3" s="14"/>
      <c r="L3">
        <f>$B$17+$B$18*Sheet1!E3</f>
        <v>385.35913218933342</v>
      </c>
    </row>
    <row r="4" spans="1:12">
      <c r="A4" t="s">
        <v>32</v>
      </c>
      <c r="B4">
        <v>0.77340306414342619</v>
      </c>
      <c r="L4">
        <f>$B$17+$B$18*Sheet1!E4</f>
        <v>249.24806012891759</v>
      </c>
    </row>
    <row r="5" spans="1:12">
      <c r="A5" t="s">
        <v>33</v>
      </c>
      <c r="B5">
        <v>0.59815229962644056</v>
      </c>
      <c r="L5">
        <f>$B$17+$B$18*Sheet1!E5</f>
        <v>265.94529660712345</v>
      </c>
    </row>
    <row r="6" spans="1:12">
      <c r="A6" t="s">
        <v>34</v>
      </c>
      <c r="B6">
        <v>0.59612276578617007</v>
      </c>
      <c r="L6">
        <f>$B$17+$B$18*Sheet1!E6</f>
        <v>296.14347151107768</v>
      </c>
    </row>
    <row r="7" spans="1:12">
      <c r="A7" t="s">
        <v>16</v>
      </c>
      <c r="B7">
        <v>86.281230529665166</v>
      </c>
      <c r="L7">
        <f>$B$17+$B$18*Sheet1!E7</f>
        <v>337.76902595054696</v>
      </c>
    </row>
    <row r="8" spans="1:12" ht="15" thickBot="1">
      <c r="A8" s="12" t="s">
        <v>35</v>
      </c>
      <c r="B8" s="12">
        <v>200</v>
      </c>
      <c r="L8">
        <f>$B$17+$B$18*Sheet1!E8</f>
        <v>461.23173963652863</v>
      </c>
    </row>
    <row r="9" spans="1:12">
      <c r="L9">
        <f>$B$17+$B$18*Sheet1!E9</f>
        <v>375.95268314582216</v>
      </c>
    </row>
    <row r="10" spans="1:12" ht="15" thickBot="1">
      <c r="A10" t="s">
        <v>36</v>
      </c>
      <c r="L10">
        <f>$B$17+$B$18*Sheet1!E10</f>
        <v>174.93676182919063</v>
      </c>
    </row>
    <row r="11" spans="1:12">
      <c r="A11" s="13"/>
      <c r="B11" s="13" t="s">
        <v>37</v>
      </c>
      <c r="C11" s="13" t="s">
        <v>38</v>
      </c>
      <c r="D11" s="13" t="s">
        <v>39</v>
      </c>
      <c r="E11" s="13" t="s">
        <v>40</v>
      </c>
      <c r="F11" s="13" t="s">
        <v>41</v>
      </c>
      <c r="L11">
        <f>$B$17+$B$18*Sheet1!E11</f>
        <v>257.65807816595463</v>
      </c>
    </row>
    <row r="12" spans="1:12">
      <c r="A12" t="s">
        <v>42</v>
      </c>
      <c r="B12">
        <v>1</v>
      </c>
      <c r="C12">
        <v>2194058.1833402822</v>
      </c>
      <c r="D12">
        <v>2194058.1833402822</v>
      </c>
      <c r="E12">
        <v>294.72398427548114</v>
      </c>
      <c r="F12">
        <v>4.6269367558910499E-41</v>
      </c>
      <c r="L12">
        <f>$B$17+$B$18*Sheet1!E12</f>
        <v>550.80176486286155</v>
      </c>
    </row>
    <row r="13" spans="1:12">
      <c r="A13" t="s">
        <v>43</v>
      </c>
      <c r="B13">
        <v>198</v>
      </c>
      <c r="C13">
        <v>1474001.2468592182</v>
      </c>
      <c r="D13">
        <v>7444.4507417132236</v>
      </c>
      <c r="L13">
        <f>$B$17+$B$18*Sheet1!E13</f>
        <v>470.21365293432382</v>
      </c>
    </row>
    <row r="14" spans="1:12" ht="15" thickBot="1">
      <c r="A14" s="12" t="s">
        <v>44</v>
      </c>
      <c r="B14" s="12">
        <v>199</v>
      </c>
      <c r="C14" s="12">
        <v>3668059.4301995002</v>
      </c>
      <c r="D14" s="12"/>
      <c r="E14" s="12"/>
      <c r="F14" s="12"/>
      <c r="L14">
        <f>$B$17+$B$18*Sheet1!E14</f>
        <v>417.04142792335296</v>
      </c>
    </row>
    <row r="15" spans="1:12" ht="15" thickBot="1">
      <c r="L15">
        <f>$B$17+$B$18*Sheet1!E15</f>
        <v>287.4703114828942</v>
      </c>
    </row>
    <row r="16" spans="1:12">
      <c r="A16" s="13"/>
      <c r="B16" s="13" t="s">
        <v>45</v>
      </c>
      <c r="C16" s="13" t="s">
        <v>16</v>
      </c>
      <c r="D16" s="13" t="s">
        <v>46</v>
      </c>
      <c r="E16" s="13" t="s">
        <v>47</v>
      </c>
      <c r="F16" s="13" t="s">
        <v>48</v>
      </c>
      <c r="G16" s="13" t="s">
        <v>49</v>
      </c>
      <c r="H16" s="13" t="s">
        <v>50</v>
      </c>
      <c r="I16" s="13" t="s">
        <v>51</v>
      </c>
      <c r="L16">
        <f>$B$17+$B$18*Sheet1!E16</f>
        <v>181.99949287155843</v>
      </c>
    </row>
    <row r="17" spans="1:12">
      <c r="A17" t="s">
        <v>52</v>
      </c>
      <c r="B17">
        <v>-1.0315504901911368</v>
      </c>
      <c r="C17">
        <v>20.860617005445505</v>
      </c>
      <c r="D17">
        <v>-4.9449663445805959E-2</v>
      </c>
      <c r="E17">
        <v>0.96061079696907459</v>
      </c>
      <c r="F17">
        <v>-42.169051823378965</v>
      </c>
      <c r="G17">
        <v>40.105950842996691</v>
      </c>
      <c r="H17">
        <v>-42.169051823378965</v>
      </c>
      <c r="I17">
        <v>40.105950842996691</v>
      </c>
      <c r="L17">
        <f>$B$17+$B$18*Sheet1!E17</f>
        <v>526.28043984790429</v>
      </c>
    </row>
    <row r="18" spans="1:12" ht="15" thickBot="1">
      <c r="A18" s="12" t="s">
        <v>53</v>
      </c>
      <c r="B18" s="12">
        <v>0.35085598819512254</v>
      </c>
      <c r="C18" s="12">
        <v>2.0437188630135626E-2</v>
      </c>
      <c r="D18" s="12">
        <v>17.167527028535048</v>
      </c>
      <c r="E18" s="12">
        <v>4.6269367558907868E-41</v>
      </c>
      <c r="F18" s="12">
        <v>0.31055349501865764</v>
      </c>
      <c r="G18" s="12">
        <v>0.39115848137158743</v>
      </c>
      <c r="H18" s="12">
        <v>0.31055349501865764</v>
      </c>
      <c r="I18" s="12">
        <v>0.39115848137158743</v>
      </c>
      <c r="L18">
        <f>$B$17+$B$18*Sheet1!E18</f>
        <v>306.87264763008449</v>
      </c>
    </row>
    <row r="19" spans="1:12">
      <c r="L19">
        <f>$B$17+$B$18*Sheet1!E19</f>
        <v>222.3584571936434</v>
      </c>
    </row>
    <row r="20" spans="1:12">
      <c r="L20">
        <f>$B$17+$B$18*Sheet1!E20</f>
        <v>527.40668757001072</v>
      </c>
    </row>
    <row r="21" spans="1:12">
      <c r="L21">
        <f>$B$17+$B$18*Sheet1!E21</f>
        <v>225.2775790154268</v>
      </c>
    </row>
    <row r="22" spans="1:12">
      <c r="L22">
        <f>$B$17+$B$18*Sheet1!E22</f>
        <v>333.43946305621915</v>
      </c>
    </row>
    <row r="23" spans="1:12">
      <c r="L23">
        <f>$B$17+$B$18*Sheet1!E23</f>
        <v>135.29705228290567</v>
      </c>
    </row>
    <row r="24" spans="1:12">
      <c r="L24">
        <f>$B$17+$B$18*Sheet1!E24</f>
        <v>259.71409425677808</v>
      </c>
    </row>
    <row r="25" spans="1:12">
      <c r="L25">
        <f>$B$17+$B$18*Sheet1!E25</f>
        <v>246.80259389119757</v>
      </c>
    </row>
    <row r="26" spans="1:12">
      <c r="L26">
        <f>$B$17+$B$18*Sheet1!E26</f>
        <v>323.61900394663769</v>
      </c>
    </row>
    <row r="27" spans="1:12">
      <c r="L27">
        <f>$B$17+$B$18*Sheet1!E27</f>
        <v>410.56462638127095</v>
      </c>
    </row>
    <row r="28" spans="1:12">
      <c r="L28">
        <f>$B$17+$B$18*Sheet1!E28</f>
        <v>235.98570377514193</v>
      </c>
    </row>
    <row r="29" spans="1:12">
      <c r="L29">
        <f>$B$17+$B$18*Sheet1!E29</f>
        <v>328.4537994639665</v>
      </c>
    </row>
    <row r="30" spans="1:12">
      <c r="L30">
        <f>$B$17+$B$18*Sheet1!E30</f>
        <v>343.97917694160066</v>
      </c>
    </row>
    <row r="31" spans="1:12">
      <c r="L31">
        <f>$B$17+$B$18*Sheet1!E31</f>
        <v>280.07777581162298</v>
      </c>
    </row>
    <row r="32" spans="1:12">
      <c r="L32">
        <f>$B$17+$B$18*Sheet1!E32</f>
        <v>507.95874014435509</v>
      </c>
    </row>
    <row r="33" spans="12:12">
      <c r="L33">
        <f>$B$17+$B$18*Sheet1!E33</f>
        <v>357.96780519094023</v>
      </c>
    </row>
    <row r="34" spans="12:12">
      <c r="L34">
        <f>$B$17+$B$18*Sheet1!E34</f>
        <v>298.50122375174891</v>
      </c>
    </row>
    <row r="35" spans="12:12">
      <c r="L35">
        <f>$B$17+$B$18*Sheet1!E35</f>
        <v>338.55845192398601</v>
      </c>
    </row>
    <row r="36" spans="12:12">
      <c r="L36">
        <f>$B$17+$B$18*Sheet1!E36</f>
        <v>420.31140573333153</v>
      </c>
    </row>
    <row r="37" spans="12:12">
      <c r="L37">
        <f>$B$17+$B$18*Sheet1!E37</f>
        <v>164.70580121342084</v>
      </c>
    </row>
    <row r="38" spans="12:12">
      <c r="L38">
        <f>$B$17+$B$18*Sheet1!E38</f>
        <v>294.01026710285129</v>
      </c>
    </row>
    <row r="39" spans="12:12">
      <c r="L39">
        <f>$B$17+$B$18*Sheet1!E39</f>
        <v>493.69644422422334</v>
      </c>
    </row>
    <row r="40" spans="12:12">
      <c r="L40">
        <f>$B$17+$B$18*Sheet1!E40</f>
        <v>270.21170542357618</v>
      </c>
    </row>
    <row r="41" spans="12:12">
      <c r="L41">
        <f>$B$17+$B$18*Sheet1!E41</f>
        <v>202.61579073790381</v>
      </c>
    </row>
    <row r="42" spans="12:12">
      <c r="L42">
        <f>$B$17+$B$18*Sheet1!E42</f>
        <v>402.87737167991588</v>
      </c>
    </row>
    <row r="43" spans="12:12">
      <c r="L43">
        <f>$B$17+$B$18*Sheet1!E43</f>
        <v>358.93967627824071</v>
      </c>
    </row>
    <row r="44" spans="12:12">
      <c r="L44">
        <f>$B$17+$B$18*Sheet1!E44</f>
        <v>194.19173846133893</v>
      </c>
    </row>
    <row r="45" spans="12:12">
      <c r="L45">
        <f>$B$17+$B$18*Sheet1!E45</f>
        <v>293.98570718367768</v>
      </c>
    </row>
    <row r="46" spans="12:12">
      <c r="L46">
        <f>$B$17+$B$18*Sheet1!E46</f>
        <v>429.55646102227297</v>
      </c>
    </row>
    <row r="47" spans="12:12">
      <c r="L47">
        <f>$B$17+$B$18*Sheet1!E47</f>
        <v>299.54677459657034</v>
      </c>
    </row>
    <row r="48" spans="12:12">
      <c r="L48">
        <f>$B$17+$B$18*Sheet1!E48</f>
        <v>428.91439456387593</v>
      </c>
    </row>
    <row r="49" spans="12:12">
      <c r="L49">
        <f>$B$17+$B$18*Sheet1!E49</f>
        <v>350.37528160639778</v>
      </c>
    </row>
    <row r="50" spans="12:12">
      <c r="L50">
        <f>$B$17+$B$18*Sheet1!E50</f>
        <v>415.38187909919003</v>
      </c>
    </row>
    <row r="51" spans="12:12">
      <c r="L51">
        <f>$B$17+$B$18*Sheet1!E51</f>
        <v>271.03972555571664</v>
      </c>
    </row>
    <row r="52" spans="12:12">
      <c r="L52">
        <f>$B$17+$B$18*Sheet1!E52</f>
        <v>357.35731577148067</v>
      </c>
    </row>
    <row r="53" spans="12:12">
      <c r="L53">
        <f>$B$17+$B$18*Sheet1!E53</f>
        <v>429.33542174971001</v>
      </c>
    </row>
    <row r="54" spans="12:12">
      <c r="L54">
        <f>$B$17+$B$18*Sheet1!E54</f>
        <v>380.32434875873344</v>
      </c>
    </row>
    <row r="55" spans="12:12">
      <c r="L55">
        <f>$B$17+$B$18*Sheet1!E55</f>
        <v>329.79056077898991</v>
      </c>
    </row>
    <row r="56" spans="12:12">
      <c r="L56">
        <f>$B$17+$B$18*Sheet1!E56</f>
        <v>286.24933264397521</v>
      </c>
    </row>
    <row r="57" spans="12:12">
      <c r="L57">
        <f>$B$17+$B$18*Sheet1!E57</f>
        <v>321.41913690065428</v>
      </c>
    </row>
    <row r="58" spans="12:12">
      <c r="L58">
        <f>$B$17+$B$18*Sheet1!E58</f>
        <v>340.44254858059384</v>
      </c>
    </row>
    <row r="59" spans="12:12">
      <c r="L59">
        <f>$B$17+$B$18*Sheet1!E59</f>
        <v>259.16675891519367</v>
      </c>
    </row>
    <row r="60" spans="12:12">
      <c r="L60">
        <f>$B$17+$B$18*Sheet1!E60</f>
        <v>437.12442468764175</v>
      </c>
    </row>
    <row r="61" spans="12:12">
      <c r="L61">
        <f>$B$17+$B$18*Sheet1!E61</f>
        <v>476.2589016109257</v>
      </c>
    </row>
    <row r="62" spans="12:12">
      <c r="L62">
        <f>$B$17+$B$18*Sheet1!E62</f>
        <v>484.30753798012188</v>
      </c>
    </row>
    <row r="63" spans="12:12">
      <c r="L63">
        <f>$B$17+$B$18*Sheet1!E63</f>
        <v>170.53351917734184</v>
      </c>
    </row>
    <row r="64" spans="12:12">
      <c r="L64">
        <f>$B$17+$B$18*Sheet1!E64</f>
        <v>326.56619424747674</v>
      </c>
    </row>
    <row r="65" spans="12:12">
      <c r="L65">
        <f>$B$17+$B$18*Sheet1!E65</f>
        <v>351.7646713196504</v>
      </c>
    </row>
    <row r="66" spans="12:12">
      <c r="L66">
        <f>$B$17+$B$18*Sheet1!E66</f>
        <v>384.94512212326316</v>
      </c>
    </row>
    <row r="67" spans="12:12">
      <c r="L67">
        <f>$B$17+$B$18*Sheet1!E67</f>
        <v>361.99914049530219</v>
      </c>
    </row>
    <row r="68" spans="12:12">
      <c r="L68">
        <f>$B$17+$B$18*Sheet1!E68</f>
        <v>306.47267180354208</v>
      </c>
    </row>
    <row r="69" spans="12:12">
      <c r="L69">
        <f>$B$17+$B$18*Sheet1!E69</f>
        <v>480.11130036130817</v>
      </c>
    </row>
    <row r="70" spans="12:12">
      <c r="L70">
        <f>$B$17+$B$18*Sheet1!E70</f>
        <v>356.9327800257646</v>
      </c>
    </row>
    <row r="71" spans="12:12">
      <c r="L71">
        <f>$B$17+$B$18*Sheet1!E71</f>
        <v>281.34085736912539</v>
      </c>
    </row>
    <row r="72" spans="12:12">
      <c r="L72">
        <f>$B$17+$B$18*Sheet1!E72</f>
        <v>212.52045528465214</v>
      </c>
    </row>
    <row r="73" spans="12:12">
      <c r="L73">
        <f>$B$17+$B$18*Sheet1!E73</f>
        <v>343.22834512686313</v>
      </c>
    </row>
    <row r="74" spans="12:12">
      <c r="L74">
        <f>$B$17+$B$18*Sheet1!E74</f>
        <v>188.34998625789015</v>
      </c>
    </row>
    <row r="75" spans="12:12">
      <c r="L75">
        <f>$B$17+$B$18*Sheet1!E75</f>
        <v>281.21454921337522</v>
      </c>
    </row>
    <row r="76" spans="12:12">
      <c r="L76">
        <f>$B$17+$B$18*Sheet1!E76</f>
        <v>534.58520108848279</v>
      </c>
    </row>
    <row r="77" spans="12:12">
      <c r="L77">
        <f>$B$17+$B$18*Sheet1!E77</f>
        <v>425.34969772381345</v>
      </c>
    </row>
    <row r="78" spans="12:12">
      <c r="L78">
        <f>$B$17+$B$18*Sheet1!E78</f>
        <v>441.5171416598447</v>
      </c>
    </row>
    <row r="79" spans="12:12">
      <c r="L79">
        <f>$B$17+$B$18*Sheet1!E79</f>
        <v>180.736411314056</v>
      </c>
    </row>
    <row r="80" spans="12:12">
      <c r="L80">
        <f>$B$17+$B$18*Sheet1!E80</f>
        <v>388.88874343057631</v>
      </c>
    </row>
    <row r="81" spans="12:12">
      <c r="L81">
        <f>$B$17+$B$18*Sheet1!E81</f>
        <v>452.0884325841638</v>
      </c>
    </row>
    <row r="82" spans="12:12">
      <c r="L82">
        <f>$B$17+$B$18*Sheet1!E82</f>
        <v>237.44877324591562</v>
      </c>
    </row>
    <row r="83" spans="12:12">
      <c r="L83">
        <f>$B$17+$B$18*Sheet1!E83</f>
        <v>400.2389346486886</v>
      </c>
    </row>
    <row r="84" spans="12:12">
      <c r="L84">
        <f>$B$17+$B$18*Sheet1!E84</f>
        <v>276.1727486630113</v>
      </c>
    </row>
    <row r="85" spans="12:12">
      <c r="L85">
        <f>$B$17+$B$18*Sheet1!E85</f>
        <v>374.62293895056268</v>
      </c>
    </row>
    <row r="86" spans="12:12">
      <c r="L86">
        <f>$B$17+$B$18*Sheet1!E86</f>
        <v>409.0805055512057</v>
      </c>
    </row>
    <row r="87" spans="12:12">
      <c r="L87">
        <f>$B$17+$B$18*Sheet1!E87</f>
        <v>467.66643846002717</v>
      </c>
    </row>
    <row r="88" spans="12:12">
      <c r="L88">
        <f>$B$17+$B$18*Sheet1!E88</f>
        <v>305.51132639588747</v>
      </c>
    </row>
    <row r="89" spans="12:12">
      <c r="L89">
        <f>$B$17+$B$18*Sheet1!E89</f>
        <v>505.59747934380192</v>
      </c>
    </row>
    <row r="90" spans="12:12">
      <c r="L90">
        <f>$B$17+$B$18*Sheet1!E90</f>
        <v>403.97204236308465</v>
      </c>
    </row>
    <row r="91" spans="12:12">
      <c r="L91">
        <f>$B$17+$B$18*Sheet1!E91</f>
        <v>442.62233802265933</v>
      </c>
    </row>
    <row r="92" spans="12:12">
      <c r="L92">
        <f>$B$17+$B$18*Sheet1!E92</f>
        <v>385.4538633061461</v>
      </c>
    </row>
    <row r="93" spans="12:12">
      <c r="L93">
        <f>$B$17+$B$18*Sheet1!E93</f>
        <v>254.2968777990454</v>
      </c>
    </row>
    <row r="94" spans="12:12">
      <c r="L94">
        <f>$B$17+$B$18*Sheet1!E94</f>
        <v>306.1112901357011</v>
      </c>
    </row>
    <row r="95" spans="12:12">
      <c r="L95">
        <f>$B$17+$B$18*Sheet1!E95</f>
        <v>405.58948846866417</v>
      </c>
    </row>
    <row r="96" spans="12:12">
      <c r="L96">
        <f>$B$17+$B$18*Sheet1!E96</f>
        <v>338.00059090275573</v>
      </c>
    </row>
    <row r="97" spans="12:12">
      <c r="L97">
        <f>$B$17+$B$18*Sheet1!E97</f>
        <v>320.87180155906992</v>
      </c>
    </row>
    <row r="98" spans="12:12">
      <c r="L98">
        <f>$B$17+$B$18*Sheet1!E98</f>
        <v>410.51199798304174</v>
      </c>
    </row>
    <row r="99" spans="12:12">
      <c r="L99">
        <f>$B$17+$B$18*Sheet1!E99</f>
        <v>422.03761719525147</v>
      </c>
    </row>
    <row r="100" spans="12:12">
      <c r="L100">
        <f>$B$17+$B$18*Sheet1!E100</f>
        <v>289.10179182800152</v>
      </c>
    </row>
    <row r="101" spans="12:12">
      <c r="L101">
        <f>$B$17+$B$18*Sheet1!E101</f>
        <v>315.50721349956649</v>
      </c>
    </row>
    <row r="102" spans="12:12">
      <c r="L102">
        <f>$B$17+$B$18*Sheet1!E102</f>
        <v>204.55953291250484</v>
      </c>
    </row>
    <row r="103" spans="12:12">
      <c r="L103">
        <f>$B$17+$B$18*Sheet1!E103</f>
        <v>346.38254046073729</v>
      </c>
    </row>
    <row r="104" spans="12:12">
      <c r="L104">
        <f>$B$17+$B$18*Sheet1!E104</f>
        <v>354.76799857860067</v>
      </c>
    </row>
    <row r="105" spans="12:12">
      <c r="L105">
        <f>$B$17+$B$18*Sheet1!E105</f>
        <v>323.61198682687376</v>
      </c>
    </row>
    <row r="106" spans="12:12">
      <c r="L106">
        <f>$B$17+$B$18*Sheet1!E106</f>
        <v>450.3587125623618</v>
      </c>
    </row>
    <row r="107" spans="12:12">
      <c r="L107">
        <f>$B$17+$B$18*Sheet1!E107</f>
        <v>336.3585848780026</v>
      </c>
    </row>
    <row r="108" spans="12:12">
      <c r="L108">
        <f>$B$17+$B$18*Sheet1!E108</f>
        <v>378.29289258708366</v>
      </c>
    </row>
    <row r="109" spans="12:12">
      <c r="L109">
        <f>$B$17+$B$18*Sheet1!E109</f>
        <v>673.8960797612383</v>
      </c>
    </row>
    <row r="110" spans="12:12">
      <c r="L110">
        <f>$B$17+$B$18*Sheet1!E110</f>
        <v>254.64071666747662</v>
      </c>
    </row>
    <row r="111" spans="12:12">
      <c r="L111">
        <f>$B$17+$B$18*Sheet1!E111</f>
        <v>455.74435198115697</v>
      </c>
    </row>
    <row r="112" spans="12:12">
      <c r="L112">
        <f>$B$17+$B$18*Sheet1!E112</f>
        <v>342.87047201890408</v>
      </c>
    </row>
    <row r="113" spans="12:12">
      <c r="L113">
        <f>$B$17+$B$18*Sheet1!E113</f>
        <v>243.71506119508052</v>
      </c>
    </row>
    <row r="114" spans="12:12">
      <c r="L114">
        <f>$B$17+$B$18*Sheet1!E114</f>
        <v>417.75366557938906</v>
      </c>
    </row>
    <row r="115" spans="12:12">
      <c r="L115">
        <f>$B$17+$B$18*Sheet1!E115</f>
        <v>269.48543352801221</v>
      </c>
    </row>
    <row r="116" spans="12:12">
      <c r="L116">
        <f>$B$17+$B$18*Sheet1!E116</f>
        <v>230.91583474572244</v>
      </c>
    </row>
    <row r="117" spans="12:12">
      <c r="L117">
        <f>$B$17+$B$18*Sheet1!E117</f>
        <v>240.64857985825515</v>
      </c>
    </row>
    <row r="118" spans="12:12">
      <c r="L118">
        <f>$B$17+$B$18*Sheet1!E118</f>
        <v>437.22266436433637</v>
      </c>
    </row>
    <row r="119" spans="12:12">
      <c r="L119">
        <f>$B$17+$B$18*Sheet1!E119</f>
        <v>354.81360985706607</v>
      </c>
    </row>
    <row r="120" spans="12:12">
      <c r="L120">
        <f>$B$17+$B$18*Sheet1!E120</f>
        <v>353.53649406003581</v>
      </c>
    </row>
    <row r="121" spans="12:12">
      <c r="L121">
        <f>$B$17+$B$18*Sheet1!E121</f>
        <v>334.8393784491177</v>
      </c>
    </row>
    <row r="122" spans="12:12">
      <c r="L122">
        <f>$B$17+$B$18*Sheet1!E122</f>
        <v>377.16313630509535</v>
      </c>
    </row>
    <row r="123" spans="12:12">
      <c r="L123">
        <f>$B$17+$B$18*Sheet1!E123</f>
        <v>407.01747234061833</v>
      </c>
    </row>
    <row r="124" spans="12:12">
      <c r="L124">
        <f>$B$17+$B$18*Sheet1!E124</f>
        <v>354.93290089305236</v>
      </c>
    </row>
    <row r="125" spans="12:12">
      <c r="L125">
        <f>$B$17+$B$18*Sheet1!E125</f>
        <v>250.89708327343465</v>
      </c>
    </row>
    <row r="126" spans="12:12">
      <c r="L126">
        <f>$B$17+$B$18*Sheet1!E126</f>
        <v>447.30977402494614</v>
      </c>
    </row>
    <row r="127" spans="12:12">
      <c r="L127">
        <f>$B$17+$B$18*Sheet1!E127</f>
        <v>246.92890204694783</v>
      </c>
    </row>
    <row r="128" spans="12:12">
      <c r="L128">
        <f>$B$17+$B$18*Sheet1!E128</f>
        <v>493.88239789796671</v>
      </c>
    </row>
    <row r="129" spans="12:12">
      <c r="L129">
        <f>$B$17+$B$18*Sheet1!E129</f>
        <v>472.73981604932868</v>
      </c>
    </row>
    <row r="130" spans="12:12">
      <c r="L130">
        <f>$B$17+$B$18*Sheet1!E130</f>
        <v>321.46825673900156</v>
      </c>
    </row>
    <row r="131" spans="12:12">
      <c r="L131">
        <f>$B$17+$B$18*Sheet1!E131</f>
        <v>89.668231018129987</v>
      </c>
    </row>
    <row r="132" spans="12:12">
      <c r="L132">
        <f>$B$17+$B$18*Sheet1!E132</f>
        <v>424.72517406482615</v>
      </c>
    </row>
    <row r="133" spans="12:12">
      <c r="L133">
        <f>$B$17+$B$18*Sheet1!E133</f>
        <v>402.55107561089443</v>
      </c>
    </row>
    <row r="134" spans="12:12">
      <c r="L134">
        <f>$B$17+$B$18*Sheet1!E134</f>
        <v>298.55034359009619</v>
      </c>
    </row>
    <row r="135" spans="12:12">
      <c r="L135">
        <f>$B$17+$B$18*Sheet1!E135</f>
        <v>371.24068722436169</v>
      </c>
    </row>
    <row r="136" spans="12:12">
      <c r="L136">
        <f>$B$17+$B$18*Sheet1!E136</f>
        <v>312.82667374975568</v>
      </c>
    </row>
    <row r="137" spans="12:12">
      <c r="L137">
        <f>$B$17+$B$18*Sheet1!E137</f>
        <v>291.5507666256035</v>
      </c>
    </row>
    <row r="138" spans="12:12">
      <c r="L138">
        <f>$B$17+$B$18*Sheet1!E138</f>
        <v>286.73702246756642</v>
      </c>
    </row>
    <row r="139" spans="12:12">
      <c r="L139">
        <f>$B$17+$B$18*Sheet1!E139</f>
        <v>178.51549290878089</v>
      </c>
    </row>
    <row r="140" spans="12:12">
      <c r="L140">
        <f>$B$17+$B$18*Sheet1!E140</f>
        <v>281.76890167472345</v>
      </c>
    </row>
    <row r="141" spans="12:12">
      <c r="L141">
        <f>$B$17+$B$18*Sheet1!E141</f>
        <v>501.55912691967603</v>
      </c>
    </row>
    <row r="142" spans="12:12">
      <c r="L142">
        <f>$B$17+$B$18*Sheet1!E142</f>
        <v>521.24565641730442</v>
      </c>
    </row>
    <row r="143" spans="12:12">
      <c r="L143">
        <f>$B$17+$B$18*Sheet1!E143</f>
        <v>430.96339353493545</v>
      </c>
    </row>
    <row r="144" spans="12:12">
      <c r="L144">
        <f>$B$17+$B$18*Sheet1!E144</f>
        <v>406.54732531643691</v>
      </c>
    </row>
    <row r="145" spans="12:12">
      <c r="L145">
        <f>$B$17+$B$18*Sheet1!E145</f>
        <v>135.18126980680128</v>
      </c>
    </row>
    <row r="146" spans="12:12">
      <c r="L146">
        <f>$B$17+$B$18*Sheet1!E146</f>
        <v>556.62597426690058</v>
      </c>
    </row>
    <row r="147" spans="12:12">
      <c r="L147">
        <f>$B$17+$B$18*Sheet1!E147</f>
        <v>117.08762649557883</v>
      </c>
    </row>
    <row r="148" spans="12:12">
      <c r="L148">
        <f>$B$17+$B$18*Sheet1!E148</f>
        <v>473.9537777684838</v>
      </c>
    </row>
    <row r="149" spans="12:12">
      <c r="L149">
        <f>$B$17+$B$18*Sheet1!E149</f>
        <v>231.44913584777902</v>
      </c>
    </row>
    <row r="150" spans="12:12">
      <c r="L150">
        <f>$B$17+$B$18*Sheet1!E150</f>
        <v>107.53030937714368</v>
      </c>
    </row>
    <row r="151" spans="12:12">
      <c r="L151">
        <f>$B$17+$B$18*Sheet1!E151</f>
        <v>309.34618234686013</v>
      </c>
    </row>
    <row r="152" spans="12:12">
      <c r="L152">
        <f>$B$17+$B$18*Sheet1!E152</f>
        <v>260.37370351458492</v>
      </c>
    </row>
    <row r="153" spans="12:12">
      <c r="L153">
        <f>$B$17+$B$18*Sheet1!E153</f>
        <v>304.29385611685035</v>
      </c>
    </row>
    <row r="154" spans="12:12">
      <c r="L154">
        <f>$B$17+$B$18*Sheet1!E154</f>
        <v>301.47297397176158</v>
      </c>
    </row>
    <row r="155" spans="12:12">
      <c r="L155">
        <f>$B$17+$B$18*Sheet1!E155</f>
        <v>409.8839657641725</v>
      </c>
    </row>
    <row r="156" spans="12:12">
      <c r="L156">
        <f>$B$17+$B$18*Sheet1!E156</f>
        <v>368.96714042085728</v>
      </c>
    </row>
    <row r="157" spans="12:12">
      <c r="L157">
        <f>$B$17+$B$18*Sheet1!E157</f>
        <v>588.83104542333081</v>
      </c>
    </row>
    <row r="158" spans="12:12">
      <c r="L158">
        <f>$B$17+$B$18*Sheet1!E158</f>
        <v>132.21302814667055</v>
      </c>
    </row>
    <row r="159" spans="12:12">
      <c r="L159">
        <f>$B$17+$B$18*Sheet1!E159</f>
        <v>376.60527528386507</v>
      </c>
    </row>
    <row r="160" spans="12:12">
      <c r="L160">
        <f>$B$17+$B$18*Sheet1!E160</f>
        <v>437.78754250533058</v>
      </c>
    </row>
    <row r="161" spans="12:12">
      <c r="L161">
        <f>$B$17+$B$18*Sheet1!E161</f>
        <v>391.34473534794216</v>
      </c>
    </row>
    <row r="162" spans="12:12">
      <c r="L162">
        <f>$B$17+$B$18*Sheet1!E162</f>
        <v>568.27439307497866</v>
      </c>
    </row>
    <row r="163" spans="12:12">
      <c r="L163">
        <f>$B$17+$B$18*Sheet1!E163</f>
        <v>223.74082978713216</v>
      </c>
    </row>
    <row r="164" spans="12:12">
      <c r="L164">
        <f>$B$17+$B$18*Sheet1!E164</f>
        <v>204.27533956206676</v>
      </c>
    </row>
    <row r="165" spans="12:12">
      <c r="L165">
        <f>$B$17+$B$18*Sheet1!E165</f>
        <v>388.41157928663097</v>
      </c>
    </row>
    <row r="166" spans="12:12">
      <c r="L166">
        <f>$B$17+$B$18*Sheet1!E166</f>
        <v>384.23639302710899</v>
      </c>
    </row>
    <row r="167" spans="12:12">
      <c r="L167">
        <f>$B$17+$B$18*Sheet1!E167</f>
        <v>289.214065744224</v>
      </c>
    </row>
    <row r="168" spans="12:12">
      <c r="L168">
        <f>$B$17+$B$18*Sheet1!E168</f>
        <v>259.26149003200635</v>
      </c>
    </row>
    <row r="169" spans="12:12">
      <c r="L169">
        <f>$B$17+$B$18*Sheet1!E169</f>
        <v>459.03187259054522</v>
      </c>
    </row>
    <row r="170" spans="12:12">
      <c r="L170">
        <f>$B$17+$B$18*Sheet1!E170</f>
        <v>200.12120466183654</v>
      </c>
    </row>
    <row r="171" spans="12:12">
      <c r="L171">
        <f>$B$17+$B$18*Sheet1!E171</f>
        <v>390.25006466477345</v>
      </c>
    </row>
    <row r="172" spans="12:12">
      <c r="L172">
        <f>$B$17+$B$18*Sheet1!E172</f>
        <v>295.73647856477135</v>
      </c>
    </row>
    <row r="173" spans="12:12">
      <c r="L173">
        <f>$B$17+$B$18*Sheet1!E173</f>
        <v>360.27994615314606</v>
      </c>
    </row>
    <row r="174" spans="12:12">
      <c r="L174">
        <f>$B$17+$B$18*Sheet1!E174</f>
        <v>416.42742994401146</v>
      </c>
    </row>
    <row r="175" spans="12:12">
      <c r="L175">
        <f>$B$17+$B$18*Sheet1!E175</f>
        <v>246.06930487586976</v>
      </c>
    </row>
    <row r="176" spans="12:12">
      <c r="L176">
        <f>$B$17+$B$18*Sheet1!E176</f>
        <v>566.73062672692004</v>
      </c>
    </row>
    <row r="177" spans="12:12">
      <c r="L177">
        <f>$B$17+$B$18*Sheet1!E177</f>
        <v>354.88728961458702</v>
      </c>
    </row>
    <row r="178" spans="12:12">
      <c r="L178">
        <f>$B$17+$B$18*Sheet1!E178</f>
        <v>289.11582606752938</v>
      </c>
    </row>
    <row r="179" spans="12:12">
      <c r="L179">
        <f>$B$17+$B$18*Sheet1!E179</f>
        <v>357.62396632250898</v>
      </c>
    </row>
    <row r="180" spans="12:12">
      <c r="L180">
        <f>$B$17+$B$18*Sheet1!E180</f>
        <v>384.8012711681032</v>
      </c>
    </row>
    <row r="181" spans="12:12">
      <c r="L181">
        <f>$B$17+$B$18*Sheet1!E181</f>
        <v>248.25864624220733</v>
      </c>
    </row>
    <row r="182" spans="12:12">
      <c r="L182">
        <f>$B$17+$B$18*Sheet1!E182</f>
        <v>174.10874169705014</v>
      </c>
    </row>
    <row r="183" spans="12:12">
      <c r="L183">
        <f>$B$17+$B$18*Sheet1!E183</f>
        <v>372.34588358717633</v>
      </c>
    </row>
    <row r="184" spans="12:12">
      <c r="L184">
        <f>$B$17+$B$18*Sheet1!E184</f>
        <v>152.91002289030084</v>
      </c>
    </row>
    <row r="185" spans="12:12">
      <c r="L185">
        <f>$B$17+$B$18*Sheet1!E185</f>
        <v>302.45186217882593</v>
      </c>
    </row>
    <row r="186" spans="12:12">
      <c r="L186">
        <f>$B$17+$B$18*Sheet1!E186</f>
        <v>344.53703796283088</v>
      </c>
    </row>
    <row r="187" spans="12:12">
      <c r="L187">
        <f>$B$17+$B$18*Sheet1!E187</f>
        <v>522.96835931934243</v>
      </c>
    </row>
    <row r="188" spans="12:12">
      <c r="L188">
        <f>$B$17+$B$18*Sheet1!E188</f>
        <v>240.85909345117219</v>
      </c>
    </row>
    <row r="189" spans="12:12">
      <c r="L189">
        <f>$B$17+$B$18*Sheet1!E189</f>
        <v>238.33643889604926</v>
      </c>
    </row>
    <row r="190" spans="12:12">
      <c r="L190">
        <f>$B$17+$B$18*Sheet1!E190</f>
        <v>159.84995433680035</v>
      </c>
    </row>
    <row r="191" spans="12:12">
      <c r="L191">
        <f>$B$17+$B$18*Sheet1!E191</f>
        <v>414.46965352988275</v>
      </c>
    </row>
    <row r="192" spans="12:12">
      <c r="L192">
        <f>$B$17+$B$18*Sheet1!E192</f>
        <v>266.36983235283952</v>
      </c>
    </row>
    <row r="193" spans="12:12">
      <c r="L193">
        <f>$B$17+$B$18*Sheet1!E193</f>
        <v>262.3595484077693</v>
      </c>
    </row>
    <row r="194" spans="12:12">
      <c r="L194">
        <f>$B$17+$B$18*Sheet1!E194</f>
        <v>510.1445729508107</v>
      </c>
    </row>
    <row r="195" spans="12:12">
      <c r="L195">
        <f>$B$17+$B$18*Sheet1!E195</f>
        <v>382.58736988259199</v>
      </c>
    </row>
    <row r="196" spans="12:12">
      <c r="L196">
        <f>$B$17+$B$18*Sheet1!E196</f>
        <v>326.76267360086598</v>
      </c>
    </row>
    <row r="197" spans="12:12">
      <c r="L197">
        <f>$B$17+$B$18*Sheet1!E197</f>
        <v>513.09527181153157</v>
      </c>
    </row>
    <row r="198" spans="12:12">
      <c r="L198">
        <f>$B$17+$B$18*Sheet1!E198</f>
        <v>258.88256556475562</v>
      </c>
    </row>
    <row r="199" spans="12:12">
      <c r="L199">
        <f>$B$17+$B$18*Sheet1!E199</f>
        <v>190.33933971095652</v>
      </c>
    </row>
    <row r="200" spans="12:12">
      <c r="L200">
        <f>$B$17+$B$18*Sheet1!E200</f>
        <v>348.98589189314504</v>
      </c>
    </row>
    <row r="201" spans="12:12">
      <c r="L201">
        <f>$B$17+$B$18*Sheet1!E201</f>
        <v>324.67508047110505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71542-91C8-4A0B-A993-6CD521C2B37D}">
  <dimension ref="A1:B17"/>
  <sheetViews>
    <sheetView zoomScale="109" workbookViewId="0">
      <selection activeCell="A2" sqref="A2"/>
    </sheetView>
  </sheetViews>
  <sheetFormatPr defaultRowHeight="14.45"/>
  <sheetData>
    <row r="1" spans="1:2">
      <c r="A1" s="13" t="s">
        <v>54</v>
      </c>
      <c r="B1" s="13" t="s">
        <v>55</v>
      </c>
    </row>
    <row r="2" spans="1:2">
      <c r="A2">
        <v>64.63</v>
      </c>
      <c r="B2">
        <v>1</v>
      </c>
    </row>
    <row r="3" spans="1:2">
      <c r="A3">
        <v>114.97499999999999</v>
      </c>
      <c r="B3">
        <v>4</v>
      </c>
    </row>
    <row r="4" spans="1:2">
      <c r="A4">
        <v>165.32</v>
      </c>
      <c r="B4">
        <v>11</v>
      </c>
    </row>
    <row r="5" spans="1:2">
      <c r="A5">
        <v>215.66500000000002</v>
      </c>
      <c r="B5">
        <v>22</v>
      </c>
    </row>
    <row r="6" spans="1:2">
      <c r="A6">
        <v>266.01</v>
      </c>
      <c r="B6">
        <v>26</v>
      </c>
    </row>
    <row r="7" spans="1:2">
      <c r="A7">
        <v>316.35500000000002</v>
      </c>
      <c r="B7">
        <v>27</v>
      </c>
    </row>
    <row r="8" spans="1:2">
      <c r="A8">
        <v>366.70000000000005</v>
      </c>
      <c r="B8">
        <v>34</v>
      </c>
    </row>
    <row r="9" spans="1:2">
      <c r="A9">
        <v>417.04500000000002</v>
      </c>
      <c r="B9">
        <v>20</v>
      </c>
    </row>
    <row r="10" spans="1:2">
      <c r="A10">
        <v>467.39000000000004</v>
      </c>
      <c r="B10">
        <v>22</v>
      </c>
    </row>
    <row r="11" spans="1:2">
      <c r="A11">
        <v>517.73500000000013</v>
      </c>
      <c r="B11">
        <v>14</v>
      </c>
    </row>
    <row r="12" spans="1:2">
      <c r="A12">
        <v>568.08000000000004</v>
      </c>
      <c r="B12">
        <v>7</v>
      </c>
    </row>
    <row r="13" spans="1:2">
      <c r="A13">
        <v>618.42500000000007</v>
      </c>
      <c r="B13">
        <v>4</v>
      </c>
    </row>
    <row r="14" spans="1:2">
      <c r="A14">
        <v>668.7700000000001</v>
      </c>
      <c r="B14">
        <v>2</v>
      </c>
    </row>
    <row r="15" spans="1:2">
      <c r="A15">
        <v>719.11500000000012</v>
      </c>
      <c r="B15">
        <v>4</v>
      </c>
    </row>
    <row r="16" spans="1:2" ht="15" thickBot="1">
      <c r="A16" s="12" t="s">
        <v>56</v>
      </c>
      <c r="B16" s="12">
        <v>2</v>
      </c>
    </row>
    <row r="17" spans="2:2" ht="15" thickBot="1">
      <c r="B17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18A43-B010-4389-AA64-2EEC7801756C}">
  <dimension ref="A1:O201"/>
  <sheetViews>
    <sheetView zoomScale="109" zoomScaleNormal="109" workbookViewId="0">
      <selection activeCell="N6" sqref="N6"/>
    </sheetView>
  </sheetViews>
  <sheetFormatPr defaultRowHeight="14.45"/>
  <cols>
    <col min="1" max="1" width="10.7109375" customWidth="1"/>
    <col min="2" max="2" width="10.85546875" customWidth="1"/>
    <col min="4" max="4" width="11.42578125" customWidth="1"/>
    <col min="5" max="5" width="11.140625" customWidth="1"/>
    <col min="7" max="7" width="9.140625" customWidth="1"/>
    <col min="8" max="8" width="11.42578125" customWidth="1"/>
    <col min="10" max="10" width="18" customWidth="1"/>
    <col min="12" max="12" width="17" customWidth="1"/>
    <col min="13" max="13" width="13.5703125" customWidth="1"/>
  </cols>
  <sheetData>
    <row r="1" spans="1:15" ht="29.45" thickBot="1">
      <c r="A1" s="1" t="s">
        <v>57</v>
      </c>
      <c r="B1" s="1" t="s">
        <v>58</v>
      </c>
      <c r="C1" s="1" t="s">
        <v>59</v>
      </c>
      <c r="D1" s="1" t="s">
        <v>60</v>
      </c>
      <c r="E1" s="1" t="s">
        <v>14</v>
      </c>
      <c r="F1" s="1" t="s">
        <v>61</v>
      </c>
      <c r="G1" s="1" t="s">
        <v>62</v>
      </c>
      <c r="H1" s="1" t="s">
        <v>63</v>
      </c>
      <c r="I1" s="1" t="s">
        <v>30</v>
      </c>
      <c r="L1" s="9" t="s">
        <v>64</v>
      </c>
      <c r="M1" s="24" t="s">
        <v>65</v>
      </c>
      <c r="N1" s="1"/>
      <c r="O1" s="1"/>
    </row>
    <row r="2" spans="1:15" ht="15" thickBot="1">
      <c r="A2" s="2" t="s">
        <v>66</v>
      </c>
      <c r="B2" s="2" t="s">
        <v>67</v>
      </c>
      <c r="C2" s="2" t="s">
        <v>13</v>
      </c>
      <c r="D2" s="2" t="s">
        <v>3</v>
      </c>
      <c r="E2" s="10">
        <v>1036.0899999999999</v>
      </c>
      <c r="F2" s="3">
        <v>4</v>
      </c>
      <c r="G2" s="11">
        <v>0.2</v>
      </c>
      <c r="H2" s="4">
        <v>45392</v>
      </c>
      <c r="I2" s="3">
        <v>331.55</v>
      </c>
      <c r="J2" s="8">
        <f ca="1">NOW()</f>
        <v>46315.597989699076</v>
      </c>
      <c r="L2" t="str" cm="1">
        <f t="array" ref="L2:L95">_xlfn._xlws.FILTER(B2:B201,E2:E201&gt;1000,"NA")</f>
        <v>James Davis</v>
      </c>
      <c r="M2" t="str">
        <f>INDEX(B2:B201,MATCH(MAX(E2:E201),E2:E201,0))</f>
        <v>James Wilson</v>
      </c>
      <c r="N2" s="2"/>
      <c r="O2" s="10"/>
    </row>
    <row r="3" spans="1:15" ht="29.45" thickBot="1">
      <c r="A3" s="2" t="s">
        <v>68</v>
      </c>
      <c r="B3" s="2" t="s">
        <v>69</v>
      </c>
      <c r="C3" s="2" t="s">
        <v>13</v>
      </c>
      <c r="D3" s="2" t="s">
        <v>4</v>
      </c>
      <c r="E3" s="10">
        <v>1101.28</v>
      </c>
      <c r="F3" s="3">
        <v>3</v>
      </c>
      <c r="G3" s="11">
        <v>0.2</v>
      </c>
      <c r="H3" s="4">
        <v>45393</v>
      </c>
      <c r="I3" s="3">
        <v>440.51</v>
      </c>
      <c r="J3" s="8">
        <f t="shared" ref="J3:J66" ca="1" si="0">NOW()</f>
        <v>46315.597989699076</v>
      </c>
      <c r="L3" t="str">
        <v>Robert Anderson</v>
      </c>
      <c r="N3" s="2"/>
      <c r="O3" s="10"/>
    </row>
    <row r="4" spans="1:15" ht="29.45" thickBot="1">
      <c r="A4" s="2" t="s">
        <v>70</v>
      </c>
      <c r="B4" s="2" t="s">
        <v>71</v>
      </c>
      <c r="C4" s="2" t="s">
        <v>10</v>
      </c>
      <c r="D4" s="2" t="s">
        <v>3</v>
      </c>
      <c r="E4" s="10">
        <v>713.34</v>
      </c>
      <c r="F4" s="3">
        <v>17</v>
      </c>
      <c r="G4" s="11">
        <v>0</v>
      </c>
      <c r="H4" s="4">
        <v>45396</v>
      </c>
      <c r="I4" s="3">
        <v>285.33999999999997</v>
      </c>
      <c r="J4" s="8">
        <f t="shared" ca="1" si="0"/>
        <v>46315.597989699076</v>
      </c>
      <c r="L4" t="str">
        <v>Linda Wilson</v>
      </c>
      <c r="N4" s="2"/>
      <c r="O4" s="10"/>
    </row>
    <row r="5" spans="1:15" ht="29.45" thickBot="1">
      <c r="A5" s="2" t="s">
        <v>72</v>
      </c>
      <c r="B5" s="2" t="s">
        <v>69</v>
      </c>
      <c r="C5" s="2" t="s">
        <v>12</v>
      </c>
      <c r="D5" s="2" t="s">
        <v>5</v>
      </c>
      <c r="E5" s="10">
        <v>760.93</v>
      </c>
      <c r="F5" s="3">
        <v>4</v>
      </c>
      <c r="G5" s="11">
        <v>0.15</v>
      </c>
      <c r="H5" s="4">
        <v>45396</v>
      </c>
      <c r="I5" s="3">
        <v>161.69999999999999</v>
      </c>
      <c r="J5" s="8">
        <f t="shared" ca="1" si="0"/>
        <v>46315.597989699076</v>
      </c>
      <c r="L5" t="str">
        <v>Mary Davis</v>
      </c>
      <c r="N5" s="2"/>
      <c r="O5" s="10"/>
    </row>
    <row r="6" spans="1:15" ht="29.45" thickBot="1">
      <c r="A6" s="2" t="s">
        <v>73</v>
      </c>
      <c r="B6" s="2" t="s">
        <v>74</v>
      </c>
      <c r="C6" s="2" t="s">
        <v>11</v>
      </c>
      <c r="D6" s="2" t="s">
        <v>3</v>
      </c>
      <c r="E6" s="10">
        <v>847</v>
      </c>
      <c r="F6" s="3">
        <v>12</v>
      </c>
      <c r="G6" s="11">
        <v>0.2</v>
      </c>
      <c r="H6" s="4">
        <v>45397</v>
      </c>
      <c r="I6" s="3">
        <v>271.04000000000002</v>
      </c>
      <c r="J6" s="8">
        <f t="shared" ca="1" si="0"/>
        <v>46315.597989699076</v>
      </c>
      <c r="L6" t="str">
        <v>Emma Davis</v>
      </c>
      <c r="M6" s="23"/>
      <c r="N6" s="2"/>
      <c r="O6" s="10"/>
    </row>
    <row r="7" spans="1:15" ht="29.45" thickBot="1">
      <c r="A7" s="2" t="s">
        <v>75</v>
      </c>
      <c r="B7" s="2" t="s">
        <v>76</v>
      </c>
      <c r="C7" s="2" t="s">
        <v>11</v>
      </c>
      <c r="D7" s="2" t="s">
        <v>6</v>
      </c>
      <c r="E7" s="10">
        <v>965.64</v>
      </c>
      <c r="F7" s="3">
        <v>8</v>
      </c>
      <c r="G7" s="11">
        <v>0.1</v>
      </c>
      <c r="H7" s="4">
        <v>45398</v>
      </c>
      <c r="I7" s="3">
        <v>304.18</v>
      </c>
      <c r="J7" s="8">
        <f t="shared" ca="1" si="0"/>
        <v>46315.597989699076</v>
      </c>
      <c r="L7" t="str">
        <v>David Thomas</v>
      </c>
      <c r="N7" s="2"/>
      <c r="O7" s="10"/>
    </row>
    <row r="8" spans="1:15" ht="29.45" thickBot="1">
      <c r="A8" s="2" t="s">
        <v>77</v>
      </c>
      <c r="B8" s="2" t="s">
        <v>78</v>
      </c>
      <c r="C8" s="2" t="s">
        <v>13</v>
      </c>
      <c r="D8" s="2" t="s">
        <v>5</v>
      </c>
      <c r="E8" s="10">
        <v>1317.53</v>
      </c>
      <c r="F8" s="3">
        <v>12</v>
      </c>
      <c r="G8" s="11">
        <v>0.05</v>
      </c>
      <c r="H8" s="4">
        <v>45398</v>
      </c>
      <c r="I8" s="3">
        <v>312.91000000000003</v>
      </c>
      <c r="J8" s="8">
        <f t="shared" ca="1" si="0"/>
        <v>46315.597989699076</v>
      </c>
      <c r="L8" t="str">
        <v>Michael Anderson</v>
      </c>
      <c r="N8" s="2"/>
      <c r="O8" s="10"/>
    </row>
    <row r="9" spans="1:15" ht="15" thickBot="1">
      <c r="A9" s="2" t="s">
        <v>79</v>
      </c>
      <c r="B9" s="2" t="s">
        <v>80</v>
      </c>
      <c r="C9" s="2" t="s">
        <v>10</v>
      </c>
      <c r="D9" s="2" t="s">
        <v>6</v>
      </c>
      <c r="E9" s="10">
        <v>1074.47</v>
      </c>
      <c r="F9" s="3">
        <v>6</v>
      </c>
      <c r="G9" s="11">
        <v>0.2</v>
      </c>
      <c r="H9" s="4">
        <v>45401</v>
      </c>
      <c r="I9" s="3">
        <v>300.85000000000002</v>
      </c>
      <c r="J9" s="8">
        <f t="shared" ca="1" si="0"/>
        <v>46315.597989699076</v>
      </c>
      <c r="L9" t="str">
        <v>Sarah Anderson</v>
      </c>
      <c r="N9" s="2"/>
      <c r="O9" s="10"/>
    </row>
    <row r="10" spans="1:15" ht="29.45" thickBot="1">
      <c r="A10" s="2" t="s">
        <v>81</v>
      </c>
      <c r="B10" s="2" t="s">
        <v>82</v>
      </c>
      <c r="C10" s="2" t="s">
        <v>9</v>
      </c>
      <c r="D10" s="2" t="s">
        <v>3</v>
      </c>
      <c r="E10" s="10">
        <v>501.54</v>
      </c>
      <c r="F10" s="3">
        <v>11</v>
      </c>
      <c r="G10" s="11">
        <v>0.05</v>
      </c>
      <c r="H10" s="4">
        <v>45401</v>
      </c>
      <c r="I10" s="3">
        <v>190.59</v>
      </c>
      <c r="J10" s="8">
        <f t="shared" ca="1" si="0"/>
        <v>46315.597989699076</v>
      </c>
      <c r="L10" t="str">
        <v>Mary Jackson</v>
      </c>
      <c r="N10" s="2"/>
      <c r="O10" s="10"/>
    </row>
    <row r="11" spans="1:15" ht="29.45" thickBot="1">
      <c r="A11" s="2" t="s">
        <v>83</v>
      </c>
      <c r="B11" s="2" t="s">
        <v>84</v>
      </c>
      <c r="C11" s="2" t="s">
        <v>9</v>
      </c>
      <c r="D11" s="2" t="s">
        <v>4</v>
      </c>
      <c r="E11" s="10">
        <v>737.31</v>
      </c>
      <c r="F11" s="3">
        <v>2</v>
      </c>
      <c r="G11" s="11">
        <v>0.05</v>
      </c>
      <c r="H11" s="4">
        <v>45401</v>
      </c>
      <c r="I11" s="3">
        <v>350.22</v>
      </c>
      <c r="J11" s="8">
        <f t="shared" ca="1" si="0"/>
        <v>46315.597989699076</v>
      </c>
      <c r="L11" t="str">
        <v>Linda Brown</v>
      </c>
      <c r="N11" s="2"/>
      <c r="O11" s="10"/>
    </row>
    <row r="12" spans="1:15" ht="29.45" thickBot="1">
      <c r="A12" s="2" t="s">
        <v>85</v>
      </c>
      <c r="B12" s="2" t="s">
        <v>86</v>
      </c>
      <c r="C12" s="2" t="s">
        <v>13</v>
      </c>
      <c r="D12" s="2" t="s">
        <v>7</v>
      </c>
      <c r="E12" s="10">
        <v>1572.82</v>
      </c>
      <c r="F12" s="3">
        <v>6</v>
      </c>
      <c r="G12" s="11">
        <v>0.05</v>
      </c>
      <c r="H12" s="4">
        <v>45402</v>
      </c>
      <c r="I12" s="3">
        <v>672.38</v>
      </c>
      <c r="J12" s="8">
        <f t="shared" ca="1" si="0"/>
        <v>46315.597989699076</v>
      </c>
      <c r="L12" t="str">
        <v>David Brown</v>
      </c>
      <c r="N12" s="2"/>
      <c r="O12" s="10"/>
    </row>
    <row r="13" spans="1:15" ht="29.45" thickBot="1">
      <c r="A13" s="2" t="s">
        <v>85</v>
      </c>
      <c r="B13" s="2" t="s">
        <v>84</v>
      </c>
      <c r="C13" s="2" t="s">
        <v>9</v>
      </c>
      <c r="D13" s="2" t="s">
        <v>3</v>
      </c>
      <c r="E13" s="10">
        <v>1343.13</v>
      </c>
      <c r="F13" s="3">
        <v>14</v>
      </c>
      <c r="G13" s="11">
        <v>0.15</v>
      </c>
      <c r="H13" s="4">
        <v>45404</v>
      </c>
      <c r="I13" s="3">
        <v>456.66</v>
      </c>
      <c r="J13" s="8">
        <f t="shared" ca="1" si="0"/>
        <v>46315.597989699076</v>
      </c>
      <c r="L13" t="str">
        <v>David Davis</v>
      </c>
      <c r="N13" s="2"/>
      <c r="O13" s="10"/>
    </row>
    <row r="14" spans="1:15" ht="29.45" thickBot="1">
      <c r="A14" s="2" t="s">
        <v>75</v>
      </c>
      <c r="B14" s="2" t="s">
        <v>76</v>
      </c>
      <c r="C14" s="2" t="s">
        <v>9</v>
      </c>
      <c r="D14" s="2" t="s">
        <v>3</v>
      </c>
      <c r="E14" s="10">
        <v>1191.58</v>
      </c>
      <c r="F14" s="3">
        <v>14</v>
      </c>
      <c r="G14" s="11">
        <v>0.05</v>
      </c>
      <c r="H14" s="4">
        <v>45406</v>
      </c>
      <c r="I14" s="3">
        <v>452.8</v>
      </c>
      <c r="J14" s="8">
        <f t="shared" ca="1" si="0"/>
        <v>46315.597989699076</v>
      </c>
      <c r="L14" t="str">
        <v>Linda Taylor</v>
      </c>
      <c r="N14" s="2"/>
      <c r="O14" s="10"/>
    </row>
    <row r="15" spans="1:15" ht="29.45" thickBot="1">
      <c r="A15" s="2" t="s">
        <v>87</v>
      </c>
      <c r="B15" s="2" t="s">
        <v>69</v>
      </c>
      <c r="C15" s="2" t="s">
        <v>13</v>
      </c>
      <c r="D15" s="2" t="s">
        <v>6</v>
      </c>
      <c r="E15" s="10">
        <v>822.28</v>
      </c>
      <c r="F15" s="3">
        <v>7</v>
      </c>
      <c r="G15" s="11">
        <v>0.05</v>
      </c>
      <c r="H15" s="4">
        <v>45406</v>
      </c>
      <c r="I15" s="3">
        <v>273.41000000000003</v>
      </c>
      <c r="J15" s="8">
        <f t="shared" ca="1" si="0"/>
        <v>46315.597989699076</v>
      </c>
      <c r="L15" t="str">
        <v>Lisa Davis</v>
      </c>
      <c r="N15" s="2"/>
      <c r="O15" s="10"/>
    </row>
    <row r="16" spans="1:15" ht="15" thickBot="1">
      <c r="A16" s="2" t="s">
        <v>88</v>
      </c>
      <c r="B16" s="2" t="s">
        <v>89</v>
      </c>
      <c r="C16" s="2" t="s">
        <v>11</v>
      </c>
      <c r="D16" s="2" t="s">
        <v>6</v>
      </c>
      <c r="E16" s="10">
        <v>521.66999999999996</v>
      </c>
      <c r="F16" s="3">
        <v>15</v>
      </c>
      <c r="G16" s="11">
        <v>0.15</v>
      </c>
      <c r="H16" s="4">
        <v>45409</v>
      </c>
      <c r="I16" s="3">
        <v>155.19999999999999</v>
      </c>
      <c r="J16" s="8">
        <f t="shared" ca="1" si="0"/>
        <v>46315.597989699076</v>
      </c>
      <c r="L16" t="str">
        <v>David Smith</v>
      </c>
      <c r="N16" s="2"/>
      <c r="O16" s="10"/>
    </row>
    <row r="17" spans="1:15" ht="29.45" thickBot="1">
      <c r="A17" s="2" t="s">
        <v>72</v>
      </c>
      <c r="B17" s="2" t="s">
        <v>90</v>
      </c>
      <c r="C17" s="2" t="s">
        <v>12</v>
      </c>
      <c r="D17" s="2" t="s">
        <v>5</v>
      </c>
      <c r="E17" s="10">
        <v>1502.93</v>
      </c>
      <c r="F17" s="3">
        <v>14</v>
      </c>
      <c r="G17" s="11">
        <v>0.2</v>
      </c>
      <c r="H17" s="4">
        <v>45410</v>
      </c>
      <c r="I17" s="3">
        <v>300.58999999999997</v>
      </c>
      <c r="J17" s="8">
        <f t="shared" ca="1" si="0"/>
        <v>46315.597989699076</v>
      </c>
      <c r="L17" t="str">
        <v>James Wilson</v>
      </c>
      <c r="N17" s="2"/>
      <c r="O17" s="10"/>
    </row>
    <row r="18" spans="1:15" ht="29.45" thickBot="1">
      <c r="A18" s="2" t="s">
        <v>91</v>
      </c>
      <c r="B18" s="2" t="s">
        <v>69</v>
      </c>
      <c r="C18" s="2" t="s">
        <v>12</v>
      </c>
      <c r="D18" s="2" t="s">
        <v>3</v>
      </c>
      <c r="E18" s="10">
        <v>877.58</v>
      </c>
      <c r="F18" s="3">
        <v>10</v>
      </c>
      <c r="G18" s="11">
        <v>0.15</v>
      </c>
      <c r="H18" s="4">
        <v>45411</v>
      </c>
      <c r="I18" s="3">
        <v>298.38</v>
      </c>
      <c r="J18" s="8">
        <f t="shared" ca="1" si="0"/>
        <v>46315.597989699076</v>
      </c>
      <c r="L18" t="str">
        <v>Emma Wilson</v>
      </c>
      <c r="N18" s="2"/>
      <c r="O18" s="10"/>
    </row>
    <row r="19" spans="1:15" ht="29.45" thickBot="1">
      <c r="A19" s="2" t="s">
        <v>77</v>
      </c>
      <c r="B19" s="2" t="s">
        <v>92</v>
      </c>
      <c r="C19" s="2" t="s">
        <v>13</v>
      </c>
      <c r="D19" s="2" t="s">
        <v>3</v>
      </c>
      <c r="E19" s="10">
        <v>636.70000000000005</v>
      </c>
      <c r="F19" s="3">
        <v>4</v>
      </c>
      <c r="G19" s="11">
        <v>0.2</v>
      </c>
      <c r="H19" s="4">
        <v>45411</v>
      </c>
      <c r="I19" s="3">
        <v>203.74</v>
      </c>
      <c r="J19" s="8">
        <f t="shared" ca="1" si="0"/>
        <v>46315.597989699076</v>
      </c>
      <c r="L19" t="str">
        <v>David Davis</v>
      </c>
      <c r="N19" s="2"/>
      <c r="O19" s="10"/>
    </row>
    <row r="20" spans="1:15" ht="29.45" thickBot="1">
      <c r="A20" s="2" t="s">
        <v>93</v>
      </c>
      <c r="B20" s="2" t="s">
        <v>94</v>
      </c>
      <c r="C20" s="2" t="s">
        <v>13</v>
      </c>
      <c r="D20" s="2" t="s">
        <v>3</v>
      </c>
      <c r="E20" s="10">
        <v>1506.14</v>
      </c>
      <c r="F20" s="3">
        <v>13</v>
      </c>
      <c r="G20" s="11">
        <v>0.2</v>
      </c>
      <c r="H20" s="4">
        <v>45412</v>
      </c>
      <c r="I20" s="3">
        <v>481.96</v>
      </c>
      <c r="J20" s="8">
        <f t="shared" ca="1" si="0"/>
        <v>46315.597989699076</v>
      </c>
      <c r="L20" t="str">
        <v>Mary Davis</v>
      </c>
      <c r="N20" s="2"/>
      <c r="O20" s="10"/>
    </row>
    <row r="21" spans="1:15" ht="15" thickBot="1">
      <c r="A21" s="2" t="s">
        <v>79</v>
      </c>
      <c r="B21" s="2" t="s">
        <v>80</v>
      </c>
      <c r="C21" s="2" t="s">
        <v>9</v>
      </c>
      <c r="D21" s="2" t="s">
        <v>5</v>
      </c>
      <c r="E21" s="10">
        <v>645.02</v>
      </c>
      <c r="F21" s="3">
        <v>4</v>
      </c>
      <c r="G21" s="11">
        <v>0</v>
      </c>
      <c r="H21" s="4">
        <v>45414</v>
      </c>
      <c r="I21" s="3">
        <v>161.26</v>
      </c>
      <c r="J21" s="8">
        <f t="shared" ca="1" si="0"/>
        <v>46315.597989699076</v>
      </c>
      <c r="L21" t="str">
        <v>Michael Anderson</v>
      </c>
      <c r="N21" s="2"/>
      <c r="O21" s="10"/>
    </row>
    <row r="22" spans="1:15" ht="15" thickBot="1">
      <c r="A22" s="2" t="s">
        <v>75</v>
      </c>
      <c r="B22" s="2" t="s">
        <v>95</v>
      </c>
      <c r="C22" s="2" t="s">
        <v>12</v>
      </c>
      <c r="D22" s="2" t="s">
        <v>4</v>
      </c>
      <c r="E22" s="10">
        <v>953.3</v>
      </c>
      <c r="F22" s="3">
        <v>11</v>
      </c>
      <c r="G22" s="11">
        <v>0</v>
      </c>
      <c r="H22" s="4">
        <v>45415</v>
      </c>
      <c r="I22" s="3">
        <v>476.65</v>
      </c>
      <c r="J22" s="8">
        <f t="shared" ca="1" si="0"/>
        <v>46315.597989699076</v>
      </c>
      <c r="L22" t="str">
        <v>Linda Jackson</v>
      </c>
      <c r="N22" s="2"/>
      <c r="O22" s="10"/>
    </row>
    <row r="23" spans="1:15" ht="29.45" thickBot="1">
      <c r="A23" s="2" t="s">
        <v>96</v>
      </c>
      <c r="B23" s="2" t="s">
        <v>69</v>
      </c>
      <c r="C23" s="2" t="s">
        <v>11</v>
      </c>
      <c r="D23" s="2" t="s">
        <v>5</v>
      </c>
      <c r="E23" s="10">
        <v>388.56</v>
      </c>
      <c r="F23" s="3">
        <v>14</v>
      </c>
      <c r="G23" s="11">
        <v>0.15</v>
      </c>
      <c r="H23" s="4">
        <v>45416</v>
      </c>
      <c r="I23" s="3">
        <v>82.57</v>
      </c>
      <c r="J23" s="8">
        <f t="shared" ca="1" si="0"/>
        <v>46315.597989699076</v>
      </c>
      <c r="L23" t="str">
        <v>James Wilson</v>
      </c>
      <c r="N23" s="2"/>
      <c r="O23" s="10"/>
    </row>
    <row r="24" spans="1:15" ht="15" thickBot="1">
      <c r="A24" s="2" t="s">
        <v>66</v>
      </c>
      <c r="B24" s="2" t="s">
        <v>80</v>
      </c>
      <c r="C24" s="2" t="s">
        <v>13</v>
      </c>
      <c r="D24" s="2" t="s">
        <v>3</v>
      </c>
      <c r="E24" s="10">
        <v>743.17</v>
      </c>
      <c r="F24" s="3">
        <v>9</v>
      </c>
      <c r="G24" s="11">
        <v>0</v>
      </c>
      <c r="H24" s="4">
        <v>45416</v>
      </c>
      <c r="I24" s="3">
        <v>297.27</v>
      </c>
      <c r="J24" s="8">
        <f t="shared" ca="1" si="0"/>
        <v>46315.597989699076</v>
      </c>
      <c r="L24" t="str">
        <v>Sarah Davis</v>
      </c>
      <c r="N24" s="2"/>
      <c r="O24" s="10"/>
    </row>
    <row r="25" spans="1:15" ht="15" thickBot="1">
      <c r="A25" s="2" t="s">
        <v>87</v>
      </c>
      <c r="B25" s="2" t="s">
        <v>80</v>
      </c>
      <c r="C25" s="2" t="s">
        <v>9</v>
      </c>
      <c r="D25" s="2" t="s">
        <v>5</v>
      </c>
      <c r="E25" s="10">
        <v>706.37</v>
      </c>
      <c r="F25" s="3">
        <v>6</v>
      </c>
      <c r="G25" s="11">
        <v>0</v>
      </c>
      <c r="H25" s="4">
        <v>45416</v>
      </c>
      <c r="I25" s="3">
        <v>176.59</v>
      </c>
      <c r="J25" s="8">
        <f t="shared" ca="1" si="0"/>
        <v>46315.597989699076</v>
      </c>
      <c r="L25" t="str">
        <v>Emma Davis</v>
      </c>
      <c r="N25" s="2"/>
      <c r="O25" s="10"/>
    </row>
    <row r="26" spans="1:15" ht="29.45" thickBot="1">
      <c r="A26" s="2" t="s">
        <v>68</v>
      </c>
      <c r="B26" s="2" t="s">
        <v>80</v>
      </c>
      <c r="C26" s="2" t="s">
        <v>9</v>
      </c>
      <c r="D26" s="2" t="s">
        <v>7</v>
      </c>
      <c r="E26" s="10">
        <v>925.31</v>
      </c>
      <c r="F26" s="3">
        <v>8</v>
      </c>
      <c r="G26" s="11">
        <v>0.1</v>
      </c>
      <c r="H26" s="4">
        <v>45418</v>
      </c>
      <c r="I26" s="3">
        <v>374.75</v>
      </c>
      <c r="J26" s="8">
        <f t="shared" ca="1" si="0"/>
        <v>46315.597989699076</v>
      </c>
      <c r="L26" t="str">
        <v>Mary Wilson</v>
      </c>
      <c r="N26" s="2"/>
      <c r="O26" s="10"/>
    </row>
    <row r="27" spans="1:15" ht="29.45" thickBot="1">
      <c r="A27" s="2" t="s">
        <v>83</v>
      </c>
      <c r="B27" s="2" t="s">
        <v>97</v>
      </c>
      <c r="C27" s="2" t="s">
        <v>12</v>
      </c>
      <c r="D27" s="2" t="s">
        <v>5</v>
      </c>
      <c r="E27" s="10">
        <v>1173.1199999999999</v>
      </c>
      <c r="F27" s="3">
        <v>18</v>
      </c>
      <c r="G27" s="11">
        <v>0</v>
      </c>
      <c r="H27" s="4">
        <v>45418</v>
      </c>
      <c r="I27" s="3">
        <v>293.27999999999997</v>
      </c>
      <c r="J27" s="8">
        <f t="shared" ca="1" si="0"/>
        <v>46315.597989699076</v>
      </c>
      <c r="L27" t="str">
        <v>Mary Davis</v>
      </c>
      <c r="N27" s="2"/>
      <c r="O27" s="10"/>
    </row>
    <row r="28" spans="1:15" ht="15" thickBot="1">
      <c r="A28" s="2" t="s">
        <v>73</v>
      </c>
      <c r="B28" s="2" t="s">
        <v>98</v>
      </c>
      <c r="C28" s="2" t="s">
        <v>11</v>
      </c>
      <c r="D28" s="2" t="s">
        <v>6</v>
      </c>
      <c r="E28" s="10">
        <v>675.54</v>
      </c>
      <c r="F28" s="3">
        <v>17</v>
      </c>
      <c r="G28" s="11">
        <v>0</v>
      </c>
      <c r="H28" s="4">
        <v>45420</v>
      </c>
      <c r="I28" s="3">
        <v>236.44</v>
      </c>
      <c r="J28" s="8">
        <f t="shared" ca="1" si="0"/>
        <v>46315.597989699076</v>
      </c>
      <c r="L28" t="str">
        <v>James Davis</v>
      </c>
      <c r="N28" s="2"/>
      <c r="O28" s="10"/>
    </row>
    <row r="29" spans="1:15" ht="29.45" thickBot="1">
      <c r="A29" s="2" t="s">
        <v>75</v>
      </c>
      <c r="B29" s="2" t="s">
        <v>69</v>
      </c>
      <c r="C29" s="2" t="s">
        <v>9</v>
      </c>
      <c r="D29" s="2" t="s">
        <v>3</v>
      </c>
      <c r="E29" s="10">
        <v>939.09</v>
      </c>
      <c r="F29" s="3">
        <v>2</v>
      </c>
      <c r="G29" s="11">
        <v>0.05</v>
      </c>
      <c r="H29" s="4">
        <v>45422</v>
      </c>
      <c r="I29" s="3">
        <v>356.85</v>
      </c>
      <c r="J29" s="8">
        <f t="shared" ca="1" si="0"/>
        <v>46315.597989699076</v>
      </c>
      <c r="L29" t="str">
        <v>Emma Wilson</v>
      </c>
      <c r="N29" s="2"/>
      <c r="O29" s="10"/>
    </row>
    <row r="30" spans="1:15" ht="29.45" thickBot="1">
      <c r="A30" s="2" t="s">
        <v>99</v>
      </c>
      <c r="B30" s="2" t="s">
        <v>100</v>
      </c>
      <c r="C30" s="2" t="s">
        <v>10</v>
      </c>
      <c r="D30" s="2" t="s">
        <v>7</v>
      </c>
      <c r="E30" s="10">
        <v>983.34</v>
      </c>
      <c r="F30" s="3">
        <v>19</v>
      </c>
      <c r="G30" s="11">
        <v>0.1</v>
      </c>
      <c r="H30" s="4">
        <v>45426</v>
      </c>
      <c r="I30" s="3">
        <v>398.25</v>
      </c>
      <c r="J30" s="8">
        <f t="shared" ca="1" si="0"/>
        <v>46315.597989699076</v>
      </c>
      <c r="L30" t="str">
        <v>James Wilson</v>
      </c>
      <c r="N30" s="2"/>
      <c r="O30" s="10"/>
    </row>
    <row r="31" spans="1:15" ht="29.45" thickBot="1">
      <c r="A31" s="2" t="s">
        <v>99</v>
      </c>
      <c r="B31" s="2" t="s">
        <v>74</v>
      </c>
      <c r="C31" s="2" t="s">
        <v>12</v>
      </c>
      <c r="D31" s="2" t="s">
        <v>5</v>
      </c>
      <c r="E31" s="10">
        <v>801.21</v>
      </c>
      <c r="F31" s="3">
        <v>3</v>
      </c>
      <c r="G31" s="11">
        <v>0.2</v>
      </c>
      <c r="H31" s="4">
        <v>45426</v>
      </c>
      <c r="I31" s="3">
        <v>160.24</v>
      </c>
      <c r="J31" s="8">
        <f t="shared" ca="1" si="0"/>
        <v>46315.597989699076</v>
      </c>
      <c r="L31" t="str">
        <v>David Brown</v>
      </c>
      <c r="N31" s="2"/>
      <c r="O31" s="10"/>
    </row>
    <row r="32" spans="1:15" ht="29.45" thickBot="1">
      <c r="A32" s="2" t="s">
        <v>101</v>
      </c>
      <c r="B32" s="2" t="s">
        <v>102</v>
      </c>
      <c r="C32" s="2" t="s">
        <v>11</v>
      </c>
      <c r="D32" s="2" t="s">
        <v>5</v>
      </c>
      <c r="E32" s="10">
        <v>1450.71</v>
      </c>
      <c r="F32" s="3">
        <v>5</v>
      </c>
      <c r="G32" s="11">
        <v>0.1</v>
      </c>
      <c r="H32" s="4">
        <v>45427</v>
      </c>
      <c r="I32" s="3">
        <v>326.41000000000003</v>
      </c>
      <c r="J32" s="8">
        <f t="shared" ca="1" si="0"/>
        <v>46315.597989699076</v>
      </c>
      <c r="L32" t="str">
        <v>Mary Jackson</v>
      </c>
      <c r="N32" s="2"/>
      <c r="O32" s="10"/>
    </row>
    <row r="33" spans="1:15" ht="15" thickBot="1">
      <c r="A33" s="2" t="s">
        <v>96</v>
      </c>
      <c r="B33" s="2" t="s">
        <v>103</v>
      </c>
      <c r="C33" s="2" t="s">
        <v>9</v>
      </c>
      <c r="D33" s="2" t="s">
        <v>3</v>
      </c>
      <c r="E33" s="10">
        <v>1023.21</v>
      </c>
      <c r="F33" s="3">
        <v>18</v>
      </c>
      <c r="G33" s="11">
        <v>0.05</v>
      </c>
      <c r="H33" s="4">
        <v>45428</v>
      </c>
      <c r="I33" s="3">
        <v>388.82</v>
      </c>
      <c r="J33" s="8">
        <f t="shared" ca="1" si="0"/>
        <v>46315.597989699076</v>
      </c>
      <c r="L33" t="str">
        <v>Emma Davis</v>
      </c>
      <c r="N33" s="2"/>
      <c r="O33" s="10"/>
    </row>
    <row r="34" spans="1:15" ht="29.45" thickBot="1">
      <c r="A34" s="2" t="s">
        <v>77</v>
      </c>
      <c r="B34" s="2" t="s">
        <v>94</v>
      </c>
      <c r="C34" s="2" t="s">
        <v>13</v>
      </c>
      <c r="D34" s="2" t="s">
        <v>6</v>
      </c>
      <c r="E34" s="10">
        <v>853.72</v>
      </c>
      <c r="F34" s="3">
        <v>5</v>
      </c>
      <c r="G34" s="11">
        <v>0.15</v>
      </c>
      <c r="H34" s="4">
        <v>45428</v>
      </c>
      <c r="I34" s="3">
        <v>253.98</v>
      </c>
      <c r="J34" s="8">
        <f t="shared" ca="1" si="0"/>
        <v>46315.597989699076</v>
      </c>
      <c r="L34" t="str">
        <v>Linda Wilson</v>
      </c>
      <c r="N34" s="2"/>
      <c r="O34" s="10"/>
    </row>
    <row r="35" spans="1:15" ht="29.45" thickBot="1">
      <c r="A35" s="2" t="s">
        <v>104</v>
      </c>
      <c r="B35" s="2" t="s">
        <v>90</v>
      </c>
      <c r="C35" s="2" t="s">
        <v>12</v>
      </c>
      <c r="D35" s="2" t="s">
        <v>5</v>
      </c>
      <c r="E35" s="10">
        <v>967.89</v>
      </c>
      <c r="F35" s="3">
        <v>10</v>
      </c>
      <c r="G35" s="11">
        <v>0.1</v>
      </c>
      <c r="H35" s="4">
        <v>45429</v>
      </c>
      <c r="I35" s="3">
        <v>217.78</v>
      </c>
      <c r="J35" s="8">
        <f t="shared" ca="1" si="0"/>
        <v>46315.597989699076</v>
      </c>
      <c r="L35" t="str">
        <v>Linda Taylor</v>
      </c>
      <c r="N35" s="2"/>
      <c r="O35" s="10"/>
    </row>
    <row r="36" spans="1:15" ht="29.45" thickBot="1">
      <c r="A36" s="2" t="s">
        <v>105</v>
      </c>
      <c r="B36" s="2" t="s">
        <v>100</v>
      </c>
      <c r="C36" s="2" t="s">
        <v>11</v>
      </c>
      <c r="D36" s="2" t="s">
        <v>7</v>
      </c>
      <c r="E36" s="10">
        <v>1200.9000000000001</v>
      </c>
      <c r="F36" s="3">
        <v>14</v>
      </c>
      <c r="G36" s="11">
        <v>0.05</v>
      </c>
      <c r="H36" s="4">
        <v>45429</v>
      </c>
      <c r="I36" s="3">
        <v>513.38</v>
      </c>
      <c r="J36" s="8">
        <f t="shared" ca="1" si="0"/>
        <v>46315.597989699076</v>
      </c>
      <c r="L36" t="str">
        <v>Linda Wilson</v>
      </c>
      <c r="N36" s="2"/>
      <c r="O36" s="10"/>
    </row>
    <row r="37" spans="1:15" ht="29.45" thickBot="1">
      <c r="A37" s="2" t="s">
        <v>68</v>
      </c>
      <c r="B37" s="2" t="s">
        <v>76</v>
      </c>
      <c r="C37" s="2" t="s">
        <v>13</v>
      </c>
      <c r="D37" s="2" t="s">
        <v>3</v>
      </c>
      <c r="E37" s="10">
        <v>472.38</v>
      </c>
      <c r="F37" s="3">
        <v>12</v>
      </c>
      <c r="G37" s="11">
        <v>0.2</v>
      </c>
      <c r="H37" s="4">
        <v>45429</v>
      </c>
      <c r="I37" s="3">
        <v>151.16</v>
      </c>
      <c r="J37" s="8">
        <f t="shared" ca="1" si="0"/>
        <v>46315.597989699076</v>
      </c>
      <c r="L37" t="str">
        <v>Mary Davis</v>
      </c>
      <c r="N37" s="2"/>
      <c r="O37" s="10"/>
    </row>
    <row r="38" spans="1:15" ht="29.45" thickBot="1">
      <c r="A38" s="2" t="s">
        <v>66</v>
      </c>
      <c r="B38" s="2" t="s">
        <v>102</v>
      </c>
      <c r="C38" s="2" t="s">
        <v>10</v>
      </c>
      <c r="D38" s="2" t="s">
        <v>7</v>
      </c>
      <c r="E38" s="10">
        <v>840.92</v>
      </c>
      <c r="F38" s="3">
        <v>9</v>
      </c>
      <c r="G38" s="11">
        <v>0.05</v>
      </c>
      <c r="H38" s="4">
        <v>45429</v>
      </c>
      <c r="I38" s="3">
        <v>359.49</v>
      </c>
      <c r="J38" s="8">
        <f t="shared" ca="1" si="0"/>
        <v>46315.597989699076</v>
      </c>
      <c r="L38" t="str">
        <v>Linda Jackson</v>
      </c>
      <c r="N38" s="2"/>
      <c r="O38" s="10"/>
    </row>
    <row r="39" spans="1:15" ht="15" thickBot="1">
      <c r="A39" s="2" t="s">
        <v>99</v>
      </c>
      <c r="B39" s="2" t="s">
        <v>95</v>
      </c>
      <c r="C39" s="2" t="s">
        <v>9</v>
      </c>
      <c r="D39" s="2" t="s">
        <v>6</v>
      </c>
      <c r="E39" s="10">
        <v>1410.06</v>
      </c>
      <c r="F39" s="3">
        <v>11</v>
      </c>
      <c r="G39" s="11">
        <v>0.05</v>
      </c>
      <c r="H39" s="4">
        <v>45434</v>
      </c>
      <c r="I39" s="3">
        <v>468.84</v>
      </c>
      <c r="J39" s="8">
        <f t="shared" ca="1" si="0"/>
        <v>46315.597989699076</v>
      </c>
      <c r="L39" t="str">
        <v>Lisa Davis</v>
      </c>
      <c r="N39" s="2"/>
      <c r="O39" s="10"/>
    </row>
    <row r="40" spans="1:15" ht="29.45" thickBot="1">
      <c r="A40" s="2" t="s">
        <v>91</v>
      </c>
      <c r="B40" s="2" t="s">
        <v>106</v>
      </c>
      <c r="C40" s="2" t="s">
        <v>9</v>
      </c>
      <c r="D40" s="2" t="s">
        <v>6</v>
      </c>
      <c r="E40" s="10">
        <v>773.09</v>
      </c>
      <c r="F40" s="3">
        <v>13</v>
      </c>
      <c r="G40" s="11">
        <v>0.15</v>
      </c>
      <c r="H40" s="4">
        <v>45434</v>
      </c>
      <c r="I40" s="3">
        <v>229.99</v>
      </c>
      <c r="J40" s="8">
        <f t="shared" ca="1" si="0"/>
        <v>46315.597989699076</v>
      </c>
      <c r="L40" t="str">
        <v>David Thomas</v>
      </c>
      <c r="N40" s="2"/>
      <c r="O40" s="10"/>
    </row>
    <row r="41" spans="1:15" ht="29.45" thickBot="1">
      <c r="A41" s="2" t="s">
        <v>107</v>
      </c>
      <c r="B41" s="2" t="s">
        <v>108</v>
      </c>
      <c r="C41" s="2" t="s">
        <v>10</v>
      </c>
      <c r="D41" s="2" t="s">
        <v>3</v>
      </c>
      <c r="E41" s="10">
        <v>580.42999999999995</v>
      </c>
      <c r="F41" s="3">
        <v>19</v>
      </c>
      <c r="G41" s="11">
        <v>0.15</v>
      </c>
      <c r="H41" s="4">
        <v>45435</v>
      </c>
      <c r="I41" s="3">
        <v>197.35</v>
      </c>
      <c r="J41" s="8">
        <f t="shared" ca="1" si="0"/>
        <v>46315.597989699076</v>
      </c>
      <c r="L41" t="str">
        <v>James Davis</v>
      </c>
      <c r="N41" s="2"/>
      <c r="O41" s="10"/>
    </row>
    <row r="42" spans="1:15" ht="15" thickBot="1">
      <c r="A42" s="2" t="s">
        <v>72</v>
      </c>
      <c r="B42" s="2" t="s">
        <v>89</v>
      </c>
      <c r="C42" s="2" t="s">
        <v>12</v>
      </c>
      <c r="D42" s="2" t="s">
        <v>3</v>
      </c>
      <c r="E42" s="10">
        <v>1151.21</v>
      </c>
      <c r="F42" s="3">
        <v>15</v>
      </c>
      <c r="G42" s="11">
        <v>0.1</v>
      </c>
      <c r="H42" s="4">
        <v>45445</v>
      </c>
      <c r="I42" s="3">
        <v>414.44</v>
      </c>
      <c r="J42" s="8">
        <f t="shared" ca="1" si="0"/>
        <v>46315.597989699076</v>
      </c>
      <c r="L42" t="str">
        <v>Sarah Davis</v>
      </c>
      <c r="N42" s="2"/>
      <c r="O42" s="10"/>
    </row>
    <row r="43" spans="1:15" ht="29.45" thickBot="1">
      <c r="A43" s="2" t="s">
        <v>99</v>
      </c>
      <c r="B43" s="2" t="s">
        <v>74</v>
      </c>
      <c r="C43" s="2" t="s">
        <v>9</v>
      </c>
      <c r="D43" s="2" t="s">
        <v>7</v>
      </c>
      <c r="E43" s="10">
        <v>1025.98</v>
      </c>
      <c r="F43" s="3">
        <v>5</v>
      </c>
      <c r="G43" s="11">
        <v>0.2</v>
      </c>
      <c r="H43" s="4">
        <v>45447</v>
      </c>
      <c r="I43" s="3">
        <v>369.35</v>
      </c>
      <c r="J43" s="8">
        <f t="shared" ca="1" si="0"/>
        <v>46315.597989699076</v>
      </c>
      <c r="L43" t="str">
        <v>James Wilson</v>
      </c>
      <c r="N43" s="2"/>
      <c r="O43" s="10"/>
    </row>
    <row r="44" spans="1:15" ht="29.45" thickBot="1">
      <c r="A44" s="2" t="s">
        <v>87</v>
      </c>
      <c r="B44" s="2" t="s">
        <v>103</v>
      </c>
      <c r="C44" s="2" t="s">
        <v>10</v>
      </c>
      <c r="D44" s="2" t="s">
        <v>7</v>
      </c>
      <c r="E44" s="10">
        <v>556.41999999999996</v>
      </c>
      <c r="F44" s="3">
        <v>11</v>
      </c>
      <c r="G44" s="11">
        <v>0.15</v>
      </c>
      <c r="H44" s="4">
        <v>45447</v>
      </c>
      <c r="I44" s="3">
        <v>212.83</v>
      </c>
      <c r="J44" s="8">
        <f t="shared" ca="1" si="0"/>
        <v>46315.597989699076</v>
      </c>
      <c r="L44" t="str">
        <v>Linda Brown</v>
      </c>
      <c r="N44" s="2"/>
      <c r="O44" s="10"/>
    </row>
    <row r="45" spans="1:15" ht="29.45" thickBot="1">
      <c r="A45" s="2" t="s">
        <v>104</v>
      </c>
      <c r="B45" s="2" t="s">
        <v>74</v>
      </c>
      <c r="C45" s="2" t="s">
        <v>9</v>
      </c>
      <c r="D45" s="2" t="s">
        <v>3</v>
      </c>
      <c r="E45" s="10">
        <v>840.85</v>
      </c>
      <c r="F45" s="3">
        <v>19</v>
      </c>
      <c r="G45" s="11">
        <v>0.1</v>
      </c>
      <c r="H45" s="4">
        <v>45448</v>
      </c>
      <c r="I45" s="3">
        <v>302.70999999999998</v>
      </c>
      <c r="J45" s="8">
        <f t="shared" ca="1" si="0"/>
        <v>46315.597989699076</v>
      </c>
      <c r="L45" t="str">
        <v>Emma Taylor</v>
      </c>
      <c r="N45" s="2"/>
      <c r="O45" s="10"/>
    </row>
    <row r="46" spans="1:15" ht="29.45" thickBot="1">
      <c r="A46" s="2" t="s">
        <v>79</v>
      </c>
      <c r="B46" s="2" t="s">
        <v>108</v>
      </c>
      <c r="C46" s="2" t="s">
        <v>11</v>
      </c>
      <c r="D46" s="2" t="s">
        <v>6</v>
      </c>
      <c r="E46" s="10">
        <v>1227.25</v>
      </c>
      <c r="F46" s="3">
        <v>12</v>
      </c>
      <c r="G46" s="11">
        <v>0.15</v>
      </c>
      <c r="H46" s="4">
        <v>45448</v>
      </c>
      <c r="I46" s="3">
        <v>365.11</v>
      </c>
      <c r="J46" s="8">
        <f t="shared" ca="1" si="0"/>
        <v>46315.597989699076</v>
      </c>
      <c r="L46" t="str">
        <v>James Wilson</v>
      </c>
      <c r="N46" s="2"/>
      <c r="O46" s="10"/>
    </row>
    <row r="47" spans="1:15" ht="15" thickBot="1">
      <c r="A47" s="2" t="s">
        <v>70</v>
      </c>
      <c r="B47" s="2" t="s">
        <v>109</v>
      </c>
      <c r="C47" s="2" t="s">
        <v>9</v>
      </c>
      <c r="D47" s="2" t="s">
        <v>5</v>
      </c>
      <c r="E47" s="10">
        <v>856.7</v>
      </c>
      <c r="F47" s="3">
        <v>2</v>
      </c>
      <c r="G47" s="11">
        <v>0</v>
      </c>
      <c r="H47" s="4">
        <v>45449</v>
      </c>
      <c r="I47" s="3">
        <v>214.18</v>
      </c>
      <c r="J47" s="8">
        <f t="shared" ca="1" si="0"/>
        <v>46315.597989699076</v>
      </c>
      <c r="L47" t="str">
        <v>Emma Wilson</v>
      </c>
      <c r="N47" s="2"/>
      <c r="O47" s="10"/>
    </row>
    <row r="48" spans="1:15" ht="29.45" thickBot="1">
      <c r="A48" s="2" t="s">
        <v>101</v>
      </c>
      <c r="B48" s="2" t="s">
        <v>103</v>
      </c>
      <c r="C48" s="2" t="s">
        <v>9</v>
      </c>
      <c r="D48" s="2" t="s">
        <v>7</v>
      </c>
      <c r="E48" s="10">
        <v>1225.42</v>
      </c>
      <c r="F48" s="3">
        <v>8</v>
      </c>
      <c r="G48" s="11">
        <v>0.15</v>
      </c>
      <c r="H48" s="4">
        <v>45449</v>
      </c>
      <c r="I48" s="3">
        <v>468.72</v>
      </c>
      <c r="J48" s="8">
        <f t="shared" ca="1" si="0"/>
        <v>46315.597989699076</v>
      </c>
      <c r="L48" t="str">
        <v>James Wilson</v>
      </c>
      <c r="N48" s="2"/>
      <c r="O48" s="10"/>
    </row>
    <row r="49" spans="1:15" ht="29.45" thickBot="1">
      <c r="A49" s="2" t="s">
        <v>110</v>
      </c>
      <c r="B49" s="2" t="s">
        <v>80</v>
      </c>
      <c r="C49" s="2" t="s">
        <v>11</v>
      </c>
      <c r="D49" s="2" t="s">
        <v>7</v>
      </c>
      <c r="E49" s="10">
        <v>1001.57</v>
      </c>
      <c r="F49" s="3">
        <v>12</v>
      </c>
      <c r="G49" s="11">
        <v>0</v>
      </c>
      <c r="H49" s="4">
        <v>45450</v>
      </c>
      <c r="I49" s="3">
        <v>450.71</v>
      </c>
      <c r="J49" s="8">
        <f t="shared" ca="1" si="0"/>
        <v>46315.597989699076</v>
      </c>
      <c r="L49" t="str">
        <v>David Davis</v>
      </c>
      <c r="N49" s="2"/>
      <c r="O49" s="10"/>
    </row>
    <row r="50" spans="1:15" ht="29.45" thickBot="1">
      <c r="A50" s="2" t="s">
        <v>104</v>
      </c>
      <c r="B50" s="2" t="s">
        <v>76</v>
      </c>
      <c r="C50" s="2" t="s">
        <v>10</v>
      </c>
      <c r="D50" s="2" t="s">
        <v>6</v>
      </c>
      <c r="E50" s="10">
        <v>1186.8499999999999</v>
      </c>
      <c r="F50" s="3">
        <v>19</v>
      </c>
      <c r="G50" s="11">
        <v>0.2</v>
      </c>
      <c r="H50" s="4">
        <v>45451</v>
      </c>
      <c r="I50" s="3">
        <v>332.32</v>
      </c>
      <c r="J50" s="8">
        <f t="shared" ca="1" si="0"/>
        <v>46315.597989699076</v>
      </c>
      <c r="L50" t="str">
        <v>Mary Jackson</v>
      </c>
      <c r="N50" s="2"/>
      <c r="O50" s="10"/>
    </row>
    <row r="51" spans="1:15" ht="15" thickBot="1">
      <c r="A51" s="2" t="s">
        <v>91</v>
      </c>
      <c r="B51" s="2" t="s">
        <v>98</v>
      </c>
      <c r="C51" s="2" t="s">
        <v>12</v>
      </c>
      <c r="D51" s="2" t="s">
        <v>5</v>
      </c>
      <c r="E51" s="10">
        <v>775.45</v>
      </c>
      <c r="F51" s="3">
        <v>6</v>
      </c>
      <c r="G51" s="11">
        <v>0.1</v>
      </c>
      <c r="H51" s="4">
        <v>45457</v>
      </c>
      <c r="I51" s="3">
        <v>174.48</v>
      </c>
      <c r="J51" s="8">
        <f t="shared" ca="1" si="0"/>
        <v>46315.597989699076</v>
      </c>
      <c r="L51" t="str">
        <v>James Wilson</v>
      </c>
      <c r="N51" s="2"/>
      <c r="O51" s="10"/>
    </row>
    <row r="52" spans="1:15" ht="29.45" thickBot="1">
      <c r="A52" s="2" t="s">
        <v>75</v>
      </c>
      <c r="B52" s="2" t="s">
        <v>82</v>
      </c>
      <c r="C52" s="2" t="s">
        <v>12</v>
      </c>
      <c r="D52" s="2" t="s">
        <v>5</v>
      </c>
      <c r="E52" s="10">
        <v>1021.47</v>
      </c>
      <c r="F52" s="3">
        <v>6</v>
      </c>
      <c r="G52" s="11">
        <v>0.05</v>
      </c>
      <c r="H52" s="4">
        <v>45461</v>
      </c>
      <c r="I52" s="3">
        <v>242.6</v>
      </c>
      <c r="J52" s="8">
        <f t="shared" ca="1" si="0"/>
        <v>46315.597989699076</v>
      </c>
      <c r="L52" t="str">
        <v>James Wilson</v>
      </c>
      <c r="N52" s="2"/>
      <c r="O52" s="10"/>
    </row>
    <row r="53" spans="1:15" ht="29.45" thickBot="1">
      <c r="A53" s="2" t="s">
        <v>105</v>
      </c>
      <c r="B53" s="2" t="s">
        <v>74</v>
      </c>
      <c r="C53" s="2" t="s">
        <v>12</v>
      </c>
      <c r="D53" s="2" t="s">
        <v>4</v>
      </c>
      <c r="E53" s="10">
        <v>1226.6199999999999</v>
      </c>
      <c r="F53" s="3">
        <v>7</v>
      </c>
      <c r="G53" s="11">
        <v>0.1</v>
      </c>
      <c r="H53" s="4">
        <v>45463</v>
      </c>
      <c r="I53" s="3">
        <v>551.98</v>
      </c>
      <c r="J53" s="8">
        <f t="shared" ca="1" si="0"/>
        <v>46315.597989699076</v>
      </c>
      <c r="L53" t="str">
        <v>Linda Jackson</v>
      </c>
      <c r="N53" s="2"/>
      <c r="O53" s="10"/>
    </row>
    <row r="54" spans="1:15" ht="15" thickBot="1">
      <c r="A54" s="2" t="s">
        <v>73</v>
      </c>
      <c r="B54" s="2" t="s">
        <v>111</v>
      </c>
      <c r="C54" s="2" t="s">
        <v>12</v>
      </c>
      <c r="D54" s="2" t="s">
        <v>6</v>
      </c>
      <c r="E54" s="10">
        <v>1086.93</v>
      </c>
      <c r="F54" s="3">
        <v>2</v>
      </c>
      <c r="G54" s="11">
        <v>0</v>
      </c>
      <c r="H54" s="4">
        <v>45464</v>
      </c>
      <c r="I54" s="3">
        <v>380.43</v>
      </c>
      <c r="J54" s="8">
        <f t="shared" ca="1" si="0"/>
        <v>46315.597989699076</v>
      </c>
      <c r="L54" t="str">
        <v>David Anderson</v>
      </c>
      <c r="N54" s="2"/>
      <c r="O54" s="10"/>
    </row>
    <row r="55" spans="1:15" ht="15" thickBot="1">
      <c r="A55" s="2" t="s">
        <v>112</v>
      </c>
      <c r="B55" s="2" t="s">
        <v>95</v>
      </c>
      <c r="C55" s="2" t="s">
        <v>13</v>
      </c>
      <c r="D55" s="2" t="s">
        <v>3</v>
      </c>
      <c r="E55" s="10">
        <v>942.9</v>
      </c>
      <c r="F55" s="3">
        <v>18</v>
      </c>
      <c r="G55" s="11">
        <v>0.1</v>
      </c>
      <c r="H55" s="4">
        <v>45466</v>
      </c>
      <c r="I55" s="3">
        <v>339.44</v>
      </c>
      <c r="J55" s="8">
        <f t="shared" ca="1" si="0"/>
        <v>46315.597989699076</v>
      </c>
      <c r="L55" t="str">
        <v>Linda Wilson</v>
      </c>
      <c r="N55" s="2"/>
      <c r="O55" s="10"/>
    </row>
    <row r="56" spans="1:15" ht="29.45" thickBot="1">
      <c r="A56" s="2" t="s">
        <v>81</v>
      </c>
      <c r="B56" s="2" t="s">
        <v>86</v>
      </c>
      <c r="C56" s="2" t="s">
        <v>11</v>
      </c>
      <c r="D56" s="2" t="s">
        <v>5</v>
      </c>
      <c r="E56" s="10">
        <v>818.8</v>
      </c>
      <c r="F56" s="3">
        <v>15</v>
      </c>
      <c r="G56" s="11">
        <v>0.15</v>
      </c>
      <c r="H56" s="4">
        <v>45468</v>
      </c>
      <c r="I56" s="3">
        <v>173.99</v>
      </c>
      <c r="J56" s="8">
        <f t="shared" ca="1" si="0"/>
        <v>46315.597989699076</v>
      </c>
      <c r="L56" t="str">
        <v>James Wilson</v>
      </c>
      <c r="N56" s="2"/>
      <c r="O56" s="10"/>
    </row>
    <row r="57" spans="1:15" ht="29.45" thickBot="1">
      <c r="A57" s="2" t="s">
        <v>72</v>
      </c>
      <c r="B57" s="2" t="s">
        <v>69</v>
      </c>
      <c r="C57" s="2" t="s">
        <v>12</v>
      </c>
      <c r="D57" s="2" t="s">
        <v>6</v>
      </c>
      <c r="E57" s="10">
        <v>919.04</v>
      </c>
      <c r="F57" s="3">
        <v>10</v>
      </c>
      <c r="G57" s="11">
        <v>0.2</v>
      </c>
      <c r="H57" s="4">
        <v>45468</v>
      </c>
      <c r="I57" s="3">
        <v>257.33</v>
      </c>
      <c r="J57" s="8">
        <f t="shared" ca="1" si="0"/>
        <v>46315.597989699076</v>
      </c>
      <c r="L57" t="str">
        <v>Lisa Davis</v>
      </c>
      <c r="N57" s="2"/>
      <c r="O57" s="10"/>
    </row>
    <row r="58" spans="1:15" ht="29.45" thickBot="1">
      <c r="A58" s="2" t="s">
        <v>73</v>
      </c>
      <c r="B58" s="2" t="s">
        <v>113</v>
      </c>
      <c r="C58" s="2" t="s">
        <v>9</v>
      </c>
      <c r="D58" s="2" t="s">
        <v>3</v>
      </c>
      <c r="E58" s="10">
        <v>973.26</v>
      </c>
      <c r="F58" s="3">
        <v>11</v>
      </c>
      <c r="G58" s="11">
        <v>0</v>
      </c>
      <c r="H58" s="4">
        <v>45470</v>
      </c>
      <c r="I58" s="3">
        <v>389.3</v>
      </c>
      <c r="J58" s="8">
        <f t="shared" ca="1" si="0"/>
        <v>46315.597989699076</v>
      </c>
      <c r="L58" t="str">
        <v>Lisa Thomas</v>
      </c>
      <c r="N58" s="2"/>
      <c r="O58" s="10"/>
    </row>
    <row r="59" spans="1:15" ht="15" thickBot="1">
      <c r="A59" s="2" t="s">
        <v>88</v>
      </c>
      <c r="B59" s="2" t="s">
        <v>111</v>
      </c>
      <c r="C59" s="2" t="s">
        <v>11</v>
      </c>
      <c r="D59" s="2" t="s">
        <v>5</v>
      </c>
      <c r="E59" s="10">
        <v>741.61</v>
      </c>
      <c r="F59" s="3">
        <v>1</v>
      </c>
      <c r="G59" s="11">
        <v>0.2</v>
      </c>
      <c r="H59" s="4">
        <v>45471</v>
      </c>
      <c r="I59" s="3">
        <v>148.32</v>
      </c>
      <c r="J59" s="8">
        <f t="shared" ca="1" si="0"/>
        <v>46315.597989699076</v>
      </c>
      <c r="L59" t="str">
        <v>Linda Brown</v>
      </c>
      <c r="N59" s="2"/>
      <c r="O59" s="10"/>
    </row>
    <row r="60" spans="1:15" ht="29.45" thickBot="1">
      <c r="A60" s="2" t="s">
        <v>114</v>
      </c>
      <c r="B60" s="2" t="s">
        <v>86</v>
      </c>
      <c r="C60" s="2" t="s">
        <v>11</v>
      </c>
      <c r="D60" s="2" t="s">
        <v>3</v>
      </c>
      <c r="E60" s="10">
        <v>1248.82</v>
      </c>
      <c r="F60" s="3">
        <v>2</v>
      </c>
      <c r="G60" s="11">
        <v>0.1</v>
      </c>
      <c r="H60" s="4">
        <v>45473</v>
      </c>
      <c r="I60" s="3">
        <v>449.58</v>
      </c>
      <c r="J60" s="8">
        <f t="shared" ca="1" si="0"/>
        <v>46315.597989699076</v>
      </c>
      <c r="L60" t="str">
        <v>Lisa Thomas</v>
      </c>
      <c r="N60" s="2"/>
      <c r="O60" s="10"/>
    </row>
    <row r="61" spans="1:15" ht="29.45" thickBot="1">
      <c r="A61" s="2" t="s">
        <v>68</v>
      </c>
      <c r="B61" s="2" t="s">
        <v>106</v>
      </c>
      <c r="C61" s="2" t="s">
        <v>13</v>
      </c>
      <c r="D61" s="2" t="s">
        <v>4</v>
      </c>
      <c r="E61" s="10">
        <v>1360.36</v>
      </c>
      <c r="F61" s="3">
        <v>17</v>
      </c>
      <c r="G61" s="11">
        <v>0</v>
      </c>
      <c r="H61" s="4">
        <v>45473</v>
      </c>
      <c r="I61" s="3">
        <v>680.18</v>
      </c>
      <c r="J61" s="8">
        <f t="shared" ca="1" si="0"/>
        <v>46315.597989699076</v>
      </c>
      <c r="L61" t="str">
        <v>James Taylor</v>
      </c>
      <c r="N61" s="2"/>
      <c r="O61" s="10"/>
    </row>
    <row r="62" spans="1:15" ht="15" thickBot="1">
      <c r="A62" s="2" t="s">
        <v>104</v>
      </c>
      <c r="B62" s="2" t="s">
        <v>80</v>
      </c>
      <c r="C62" s="2" t="s">
        <v>10</v>
      </c>
      <c r="D62" s="2" t="s">
        <v>3</v>
      </c>
      <c r="E62" s="10">
        <v>1383.3</v>
      </c>
      <c r="F62" s="3">
        <v>8</v>
      </c>
      <c r="G62" s="11">
        <v>0.1</v>
      </c>
      <c r="H62" s="4">
        <v>45478</v>
      </c>
      <c r="I62" s="3">
        <v>497.99</v>
      </c>
      <c r="J62" s="8">
        <f t="shared" ca="1" si="0"/>
        <v>46315.597989699076</v>
      </c>
      <c r="L62" t="str">
        <v>Linda Brown</v>
      </c>
      <c r="N62" s="2"/>
      <c r="O62" s="10"/>
    </row>
    <row r="63" spans="1:15" ht="29.45" thickBot="1">
      <c r="A63" s="2" t="s">
        <v>83</v>
      </c>
      <c r="B63" s="2" t="s">
        <v>102</v>
      </c>
      <c r="C63" s="2" t="s">
        <v>9</v>
      </c>
      <c r="D63" s="2" t="s">
        <v>7</v>
      </c>
      <c r="E63" s="10">
        <v>488.99</v>
      </c>
      <c r="F63" s="3">
        <v>9</v>
      </c>
      <c r="G63" s="11">
        <v>0</v>
      </c>
      <c r="H63" s="4">
        <v>45479</v>
      </c>
      <c r="I63" s="3">
        <v>220.05</v>
      </c>
      <c r="J63" s="8">
        <f t="shared" ca="1" si="0"/>
        <v>46315.597989699076</v>
      </c>
      <c r="L63" t="str">
        <v>Emma Wilson</v>
      </c>
      <c r="N63" s="2"/>
      <c r="O63" s="10"/>
    </row>
    <row r="64" spans="1:15" ht="15" thickBot="1">
      <c r="A64" s="2" t="s">
        <v>79</v>
      </c>
      <c r="B64" s="2" t="s">
        <v>80</v>
      </c>
      <c r="C64" s="2" t="s">
        <v>10</v>
      </c>
      <c r="D64" s="2" t="s">
        <v>6</v>
      </c>
      <c r="E64" s="10">
        <v>933.71</v>
      </c>
      <c r="F64" s="3">
        <v>17</v>
      </c>
      <c r="G64" s="11">
        <v>0.1</v>
      </c>
      <c r="H64" s="4">
        <v>45481</v>
      </c>
      <c r="I64" s="3">
        <v>294.12</v>
      </c>
      <c r="J64" s="8">
        <f t="shared" ca="1" si="0"/>
        <v>46315.597989699076</v>
      </c>
      <c r="L64" t="str">
        <v>Emma Wilson</v>
      </c>
      <c r="N64" s="2"/>
      <c r="O64" s="10"/>
    </row>
    <row r="65" spans="1:15" ht="15" thickBot="1">
      <c r="A65" s="2" t="s">
        <v>114</v>
      </c>
      <c r="B65" s="2" t="s">
        <v>67</v>
      </c>
      <c r="C65" s="2" t="s">
        <v>13</v>
      </c>
      <c r="D65" s="2" t="s">
        <v>5</v>
      </c>
      <c r="E65" s="10">
        <v>1005.53</v>
      </c>
      <c r="F65" s="3">
        <v>17</v>
      </c>
      <c r="G65" s="11">
        <v>0.2</v>
      </c>
      <c r="H65" s="4">
        <v>45481</v>
      </c>
      <c r="I65" s="3">
        <v>201.11</v>
      </c>
      <c r="J65" s="8">
        <f t="shared" ca="1" si="0"/>
        <v>46315.597989699076</v>
      </c>
      <c r="L65" t="str">
        <v>Emma Davis</v>
      </c>
      <c r="N65" s="2"/>
      <c r="O65" s="10"/>
    </row>
    <row r="66" spans="1:15" ht="29.45" thickBot="1">
      <c r="A66" s="2" t="s">
        <v>88</v>
      </c>
      <c r="B66" s="2" t="s">
        <v>108</v>
      </c>
      <c r="C66" s="2" t="s">
        <v>12</v>
      </c>
      <c r="D66" s="2" t="s">
        <v>5</v>
      </c>
      <c r="E66" s="10">
        <v>1100.0999999999999</v>
      </c>
      <c r="F66" s="3">
        <v>5</v>
      </c>
      <c r="G66" s="11">
        <v>0.05</v>
      </c>
      <c r="H66" s="4">
        <v>45482</v>
      </c>
      <c r="I66" s="3">
        <v>261.27</v>
      </c>
      <c r="J66" s="8">
        <f t="shared" ca="1" si="0"/>
        <v>46315.597989699076</v>
      </c>
      <c r="L66" t="str">
        <v>Lisa Thomas</v>
      </c>
      <c r="N66" s="2"/>
      <c r="O66" s="10"/>
    </row>
    <row r="67" spans="1:15" ht="29.45" thickBot="1">
      <c r="A67" s="2" t="s">
        <v>114</v>
      </c>
      <c r="B67" s="2" t="s">
        <v>74</v>
      </c>
      <c r="C67" s="2" t="s">
        <v>11</v>
      </c>
      <c r="D67" s="2" t="s">
        <v>6</v>
      </c>
      <c r="E67" s="10">
        <v>1034.7</v>
      </c>
      <c r="F67" s="3">
        <v>15</v>
      </c>
      <c r="G67" s="11">
        <v>0.15</v>
      </c>
      <c r="H67" s="4">
        <v>45487</v>
      </c>
      <c r="I67" s="3">
        <v>307.82</v>
      </c>
      <c r="J67" s="8">
        <f t="shared" ref="J67:J130" ca="1" si="1">NOW()</f>
        <v>46315.597989699076</v>
      </c>
      <c r="L67" t="str">
        <v>Michael Anderson</v>
      </c>
      <c r="N67" s="2"/>
      <c r="O67" s="10"/>
    </row>
    <row r="68" spans="1:15" ht="15" thickBot="1">
      <c r="A68" s="2" t="s">
        <v>112</v>
      </c>
      <c r="B68" s="2" t="s">
        <v>80</v>
      </c>
      <c r="C68" s="2" t="s">
        <v>12</v>
      </c>
      <c r="D68" s="2" t="s">
        <v>3</v>
      </c>
      <c r="E68" s="10">
        <v>876.44</v>
      </c>
      <c r="F68" s="3">
        <v>12</v>
      </c>
      <c r="G68" s="11">
        <v>0.05</v>
      </c>
      <c r="H68" s="4">
        <v>45488</v>
      </c>
      <c r="I68" s="3">
        <v>333.05</v>
      </c>
      <c r="J68" s="8">
        <f t="shared" ca="1" si="1"/>
        <v>46315.597989699076</v>
      </c>
      <c r="L68" t="str">
        <v>Linda Wilson</v>
      </c>
      <c r="N68" s="2"/>
      <c r="O68" s="10"/>
    </row>
    <row r="69" spans="1:15" ht="29.45" thickBot="1">
      <c r="A69" s="2" t="s">
        <v>115</v>
      </c>
      <c r="B69" s="2" t="s">
        <v>102</v>
      </c>
      <c r="C69" s="2" t="s">
        <v>13</v>
      </c>
      <c r="D69" s="2" t="s">
        <v>6</v>
      </c>
      <c r="E69" s="10">
        <v>1371.34</v>
      </c>
      <c r="F69" s="3">
        <v>5</v>
      </c>
      <c r="G69" s="11">
        <v>0.05</v>
      </c>
      <c r="H69" s="4">
        <v>45488</v>
      </c>
      <c r="I69" s="3">
        <v>455.97</v>
      </c>
      <c r="J69" s="8">
        <f t="shared" ca="1" si="1"/>
        <v>46315.597989699076</v>
      </c>
      <c r="L69" t="str">
        <v>Emma Taylor</v>
      </c>
      <c r="N69" s="2"/>
      <c r="O69" s="10"/>
    </row>
    <row r="70" spans="1:15" ht="29.45" thickBot="1">
      <c r="A70" s="2" t="s">
        <v>104</v>
      </c>
      <c r="B70" s="2" t="s">
        <v>94</v>
      </c>
      <c r="C70" s="2" t="s">
        <v>11</v>
      </c>
      <c r="D70" s="2" t="s">
        <v>5</v>
      </c>
      <c r="E70" s="10">
        <v>1020.26</v>
      </c>
      <c r="F70" s="3">
        <v>11</v>
      </c>
      <c r="G70" s="11">
        <v>0.05</v>
      </c>
      <c r="H70" s="4">
        <v>45494</v>
      </c>
      <c r="I70" s="3">
        <v>242.31</v>
      </c>
      <c r="J70" s="8">
        <f t="shared" ca="1" si="1"/>
        <v>46315.597989699076</v>
      </c>
      <c r="L70" t="str">
        <v>Sarah Anderson</v>
      </c>
      <c r="N70" s="2"/>
      <c r="O70" s="10"/>
    </row>
    <row r="71" spans="1:15" ht="29.45" thickBot="1">
      <c r="A71" s="2" t="s">
        <v>91</v>
      </c>
      <c r="B71" s="2" t="s">
        <v>67</v>
      </c>
      <c r="C71" s="2" t="s">
        <v>9</v>
      </c>
      <c r="D71" s="2" t="s">
        <v>7</v>
      </c>
      <c r="E71" s="10">
        <v>804.81</v>
      </c>
      <c r="F71" s="3">
        <v>1</v>
      </c>
      <c r="G71" s="11">
        <v>0.05</v>
      </c>
      <c r="H71" s="4">
        <v>45502</v>
      </c>
      <c r="I71" s="3">
        <v>344.06</v>
      </c>
      <c r="J71" s="8">
        <f t="shared" ca="1" si="1"/>
        <v>46315.597989699076</v>
      </c>
      <c r="L71" t="str">
        <v>Mary Davis</v>
      </c>
      <c r="N71" s="2"/>
      <c r="O71" s="10"/>
    </row>
    <row r="72" spans="1:15" ht="29.45" thickBot="1">
      <c r="A72" s="2" t="s">
        <v>73</v>
      </c>
      <c r="B72" s="2" t="s">
        <v>102</v>
      </c>
      <c r="C72" s="2" t="s">
        <v>9</v>
      </c>
      <c r="D72" s="2" t="s">
        <v>5</v>
      </c>
      <c r="E72" s="10">
        <v>608.66</v>
      </c>
      <c r="F72" s="3">
        <v>1</v>
      </c>
      <c r="G72" s="11">
        <v>0.05</v>
      </c>
      <c r="H72" s="4">
        <v>45503</v>
      </c>
      <c r="I72" s="3">
        <v>144.56</v>
      </c>
      <c r="J72" s="8">
        <f t="shared" ca="1" si="1"/>
        <v>46315.597989699076</v>
      </c>
      <c r="L72" t="str">
        <v>James Wilson</v>
      </c>
      <c r="N72" s="2"/>
      <c r="O72" s="10"/>
    </row>
    <row r="73" spans="1:15" ht="29.45" thickBot="1">
      <c r="A73" s="2" t="s">
        <v>115</v>
      </c>
      <c r="B73" s="2" t="s">
        <v>116</v>
      </c>
      <c r="C73" s="2" t="s">
        <v>12</v>
      </c>
      <c r="D73" s="2" t="s">
        <v>7</v>
      </c>
      <c r="E73" s="10">
        <v>981.2</v>
      </c>
      <c r="F73" s="3">
        <v>19</v>
      </c>
      <c r="G73" s="11">
        <v>0</v>
      </c>
      <c r="H73" s="4">
        <v>45504</v>
      </c>
      <c r="I73" s="3">
        <v>441.54</v>
      </c>
      <c r="J73" s="8">
        <f t="shared" ca="1" si="1"/>
        <v>46315.597989699076</v>
      </c>
      <c r="L73" t="str">
        <v>Mary Wilson</v>
      </c>
      <c r="N73" s="2"/>
      <c r="O73" s="10"/>
    </row>
    <row r="74" spans="1:15" ht="29.45" thickBot="1">
      <c r="A74" s="2" t="s">
        <v>117</v>
      </c>
      <c r="B74" s="2" t="s">
        <v>102</v>
      </c>
      <c r="C74" s="2" t="s">
        <v>10</v>
      </c>
      <c r="D74" s="2" t="s">
        <v>5</v>
      </c>
      <c r="E74" s="10">
        <v>539.77</v>
      </c>
      <c r="F74" s="3">
        <v>10</v>
      </c>
      <c r="G74" s="11">
        <v>0.15</v>
      </c>
      <c r="H74" s="4">
        <v>45509</v>
      </c>
      <c r="I74" s="3">
        <v>114.7</v>
      </c>
      <c r="J74" s="8">
        <f t="shared" ca="1" si="1"/>
        <v>46315.597989699076</v>
      </c>
      <c r="L74" t="str">
        <v>Robert Anderson</v>
      </c>
      <c r="N74" s="2"/>
      <c r="O74" s="10"/>
    </row>
    <row r="75" spans="1:15" ht="29.45" thickBot="1">
      <c r="A75" s="2" t="s">
        <v>68</v>
      </c>
      <c r="B75" s="2" t="s">
        <v>118</v>
      </c>
      <c r="C75" s="2" t="s">
        <v>12</v>
      </c>
      <c r="D75" s="2" t="s">
        <v>3</v>
      </c>
      <c r="E75" s="10">
        <v>804.45</v>
      </c>
      <c r="F75" s="3">
        <v>5</v>
      </c>
      <c r="G75" s="11">
        <v>0.2</v>
      </c>
      <c r="H75" s="4">
        <v>45509</v>
      </c>
      <c r="I75" s="3">
        <v>257.42</v>
      </c>
      <c r="J75" s="8">
        <f t="shared" ca="1" si="1"/>
        <v>46315.597989699076</v>
      </c>
      <c r="L75" t="str">
        <v>James Wilson</v>
      </c>
      <c r="N75" s="2"/>
      <c r="O75" s="10"/>
    </row>
    <row r="76" spans="1:15" ht="29.45" thickBot="1">
      <c r="A76" s="2" t="s">
        <v>117</v>
      </c>
      <c r="B76" s="2" t="s">
        <v>86</v>
      </c>
      <c r="C76" s="2" t="s">
        <v>13</v>
      </c>
      <c r="D76" s="2" t="s">
        <v>5</v>
      </c>
      <c r="E76" s="10">
        <v>1526.6</v>
      </c>
      <c r="F76" s="3">
        <v>13</v>
      </c>
      <c r="G76" s="11">
        <v>0.2</v>
      </c>
      <c r="H76" s="4">
        <v>45512</v>
      </c>
      <c r="I76" s="3">
        <v>305.32</v>
      </c>
      <c r="J76" s="8">
        <f t="shared" ca="1" si="1"/>
        <v>46315.597989699076</v>
      </c>
      <c r="L76" t="str">
        <v>Lisa Thomas</v>
      </c>
      <c r="N76" s="2"/>
      <c r="O76" s="10"/>
    </row>
    <row r="77" spans="1:15" ht="29.45" thickBot="1">
      <c r="A77" s="2" t="s">
        <v>68</v>
      </c>
      <c r="B77" s="2" t="s">
        <v>78</v>
      </c>
      <c r="C77" s="2" t="s">
        <v>13</v>
      </c>
      <c r="D77" s="2" t="s">
        <v>5</v>
      </c>
      <c r="E77" s="10">
        <v>1215.26</v>
      </c>
      <c r="F77" s="3">
        <v>5</v>
      </c>
      <c r="G77" s="11">
        <v>0.15</v>
      </c>
      <c r="H77" s="4">
        <v>45513</v>
      </c>
      <c r="I77" s="3">
        <v>258.24</v>
      </c>
      <c r="J77" s="8">
        <f t="shared" ca="1" si="1"/>
        <v>46315.597989699076</v>
      </c>
      <c r="L77" t="str">
        <v>Mary Davis</v>
      </c>
      <c r="N77" s="2"/>
      <c r="O77" s="10"/>
    </row>
    <row r="78" spans="1:15" ht="29.45" thickBot="1">
      <c r="A78" s="2" t="s">
        <v>72</v>
      </c>
      <c r="B78" s="2" t="s">
        <v>100</v>
      </c>
      <c r="C78" s="2" t="s">
        <v>9</v>
      </c>
      <c r="D78" s="2" t="s">
        <v>6</v>
      </c>
      <c r="E78" s="10">
        <v>1261.3399999999999</v>
      </c>
      <c r="F78" s="3">
        <v>3</v>
      </c>
      <c r="G78" s="11">
        <v>0</v>
      </c>
      <c r="H78" s="4">
        <v>45519</v>
      </c>
      <c r="I78" s="3">
        <v>441.47</v>
      </c>
      <c r="J78" s="8">
        <f t="shared" ca="1" si="1"/>
        <v>46315.597989699076</v>
      </c>
      <c r="L78" t="str">
        <v>James Taylor</v>
      </c>
      <c r="N78" s="2"/>
      <c r="O78" s="10"/>
    </row>
    <row r="79" spans="1:15" ht="29.45" thickBot="1">
      <c r="A79" s="2" t="s">
        <v>119</v>
      </c>
      <c r="B79" s="2" t="s">
        <v>92</v>
      </c>
      <c r="C79" s="2" t="s">
        <v>11</v>
      </c>
      <c r="D79" s="2" t="s">
        <v>6</v>
      </c>
      <c r="E79" s="10">
        <v>518.07000000000005</v>
      </c>
      <c r="F79" s="3">
        <v>7</v>
      </c>
      <c r="G79" s="11">
        <v>0.05</v>
      </c>
      <c r="H79" s="4">
        <v>45522</v>
      </c>
      <c r="I79" s="3">
        <v>172.26</v>
      </c>
      <c r="J79" s="8">
        <f t="shared" ca="1" si="1"/>
        <v>46315.597989699076</v>
      </c>
      <c r="L79" t="str">
        <v>Linda Taylor</v>
      </c>
      <c r="N79" s="2"/>
      <c r="O79" s="10"/>
    </row>
    <row r="80" spans="1:15" ht="29.45" thickBot="1">
      <c r="A80" s="2" t="s">
        <v>79</v>
      </c>
      <c r="B80" s="2" t="s">
        <v>78</v>
      </c>
      <c r="C80" s="2" t="s">
        <v>13</v>
      </c>
      <c r="D80" s="2" t="s">
        <v>7</v>
      </c>
      <c r="E80" s="10">
        <v>1111.3399999999999</v>
      </c>
      <c r="F80" s="3">
        <v>1</v>
      </c>
      <c r="G80" s="11">
        <v>0</v>
      </c>
      <c r="H80" s="4">
        <v>45523</v>
      </c>
      <c r="I80" s="3">
        <v>500.1</v>
      </c>
      <c r="J80" s="8">
        <f t="shared" ca="1" si="1"/>
        <v>46315.597989699076</v>
      </c>
      <c r="L80" t="str">
        <v>Mary Davis</v>
      </c>
      <c r="N80" s="2"/>
      <c r="O80" s="10"/>
    </row>
    <row r="81" spans="1:15" ht="15" thickBot="1">
      <c r="A81" s="2" t="s">
        <v>73</v>
      </c>
      <c r="B81" s="2" t="s">
        <v>80</v>
      </c>
      <c r="C81" s="2" t="s">
        <v>10</v>
      </c>
      <c r="D81" s="2" t="s">
        <v>4</v>
      </c>
      <c r="E81" s="10">
        <v>1291.47</v>
      </c>
      <c r="F81" s="3">
        <v>18</v>
      </c>
      <c r="G81" s="11">
        <v>0.1</v>
      </c>
      <c r="H81" s="4">
        <v>45526</v>
      </c>
      <c r="I81" s="3">
        <v>581.16</v>
      </c>
      <c r="J81" s="8">
        <f t="shared" ca="1" si="1"/>
        <v>46315.597989699076</v>
      </c>
      <c r="L81" t="str">
        <v>Lisa Thomas</v>
      </c>
      <c r="N81" s="2"/>
      <c r="O81" s="10"/>
    </row>
    <row r="82" spans="1:15" ht="29.45" thickBot="1">
      <c r="A82" s="2" t="s">
        <v>75</v>
      </c>
      <c r="B82" s="2" t="s">
        <v>102</v>
      </c>
      <c r="C82" s="2" t="s">
        <v>11</v>
      </c>
      <c r="D82" s="2" t="s">
        <v>3</v>
      </c>
      <c r="E82" s="10">
        <v>679.71</v>
      </c>
      <c r="F82" s="3">
        <v>19</v>
      </c>
      <c r="G82" s="11">
        <v>0</v>
      </c>
      <c r="H82" s="4">
        <v>45534</v>
      </c>
      <c r="I82" s="3">
        <v>271.88</v>
      </c>
      <c r="J82" s="8">
        <f t="shared" ca="1" si="1"/>
        <v>46315.597989699076</v>
      </c>
      <c r="L82" t="str">
        <v>James Davis</v>
      </c>
      <c r="N82" s="2"/>
      <c r="O82" s="10"/>
    </row>
    <row r="83" spans="1:15" ht="29.45" thickBot="1">
      <c r="A83" s="2" t="s">
        <v>115</v>
      </c>
      <c r="B83" s="2" t="s">
        <v>82</v>
      </c>
      <c r="C83" s="2" t="s">
        <v>10</v>
      </c>
      <c r="D83" s="2" t="s">
        <v>6</v>
      </c>
      <c r="E83" s="10">
        <v>1143.69</v>
      </c>
      <c r="F83" s="3">
        <v>17</v>
      </c>
      <c r="G83" s="11">
        <v>0</v>
      </c>
      <c r="H83" s="4">
        <v>45534</v>
      </c>
      <c r="I83" s="3">
        <v>400.29</v>
      </c>
      <c r="J83" s="8">
        <f t="shared" ca="1" si="1"/>
        <v>46315.597989699076</v>
      </c>
      <c r="L83" t="str">
        <v>James Wilson</v>
      </c>
      <c r="N83" s="2"/>
      <c r="O83" s="10"/>
    </row>
    <row r="84" spans="1:15" ht="29.45" thickBot="1">
      <c r="A84" s="2" t="s">
        <v>99</v>
      </c>
      <c r="B84" s="2" t="s">
        <v>97</v>
      </c>
      <c r="C84" s="2" t="s">
        <v>9</v>
      </c>
      <c r="D84" s="2" t="s">
        <v>5</v>
      </c>
      <c r="E84" s="10">
        <v>790.08</v>
      </c>
      <c r="F84" s="3">
        <v>7</v>
      </c>
      <c r="G84" s="11">
        <v>0.1</v>
      </c>
      <c r="H84" s="4">
        <v>45536</v>
      </c>
      <c r="I84" s="3">
        <v>177.77</v>
      </c>
      <c r="J84" s="8">
        <f t="shared" ca="1" si="1"/>
        <v>46315.597989699076</v>
      </c>
      <c r="L84" t="str">
        <v>David Brown</v>
      </c>
      <c r="N84" s="2"/>
      <c r="O84" s="10"/>
    </row>
    <row r="85" spans="1:15" ht="15" thickBot="1">
      <c r="A85" s="2" t="s">
        <v>72</v>
      </c>
      <c r="B85" s="2" t="s">
        <v>95</v>
      </c>
      <c r="C85" s="2" t="s">
        <v>9</v>
      </c>
      <c r="D85" s="2" t="s">
        <v>3</v>
      </c>
      <c r="E85" s="10">
        <v>1070.68</v>
      </c>
      <c r="F85" s="3">
        <v>7</v>
      </c>
      <c r="G85" s="11">
        <v>0.05</v>
      </c>
      <c r="H85" s="4">
        <v>45536</v>
      </c>
      <c r="I85" s="3">
        <v>406.86</v>
      </c>
      <c r="J85" s="8">
        <f t="shared" ca="1" si="1"/>
        <v>46315.597989699076</v>
      </c>
      <c r="L85" t="str">
        <v>Mary Davis</v>
      </c>
      <c r="N85" s="2"/>
      <c r="O85" s="10"/>
    </row>
    <row r="86" spans="1:15" ht="29.45" thickBot="1">
      <c r="A86" s="2" t="s">
        <v>105</v>
      </c>
      <c r="B86" s="2" t="s">
        <v>84</v>
      </c>
      <c r="C86" s="2" t="s">
        <v>13</v>
      </c>
      <c r="D86" s="2" t="s">
        <v>4</v>
      </c>
      <c r="E86" s="10">
        <v>1168.8900000000001</v>
      </c>
      <c r="F86" s="3">
        <v>4</v>
      </c>
      <c r="G86" s="11">
        <v>0.1</v>
      </c>
      <c r="H86" s="4">
        <v>45544</v>
      </c>
      <c r="I86" s="3">
        <v>526</v>
      </c>
      <c r="J86" s="8">
        <f t="shared" ca="1" si="1"/>
        <v>46315.597989699076</v>
      </c>
      <c r="L86" t="str">
        <v>Mary Jackson</v>
      </c>
      <c r="N86" s="2"/>
      <c r="O86" s="10"/>
    </row>
    <row r="87" spans="1:15" ht="15" thickBot="1">
      <c r="A87" s="2" t="s">
        <v>114</v>
      </c>
      <c r="B87" s="2" t="s">
        <v>67</v>
      </c>
      <c r="C87" s="2" t="s">
        <v>12</v>
      </c>
      <c r="D87" s="2" t="s">
        <v>5</v>
      </c>
      <c r="E87" s="10">
        <v>1335.87</v>
      </c>
      <c r="F87" s="3">
        <v>17</v>
      </c>
      <c r="G87" s="11">
        <v>0</v>
      </c>
      <c r="H87" s="4">
        <v>45544</v>
      </c>
      <c r="I87" s="3">
        <v>333.97</v>
      </c>
      <c r="J87" s="8">
        <f t="shared" ca="1" si="1"/>
        <v>46315.597989699076</v>
      </c>
      <c r="L87" t="str">
        <v>Linda Taylor</v>
      </c>
      <c r="N87" s="2"/>
      <c r="O87" s="10"/>
    </row>
    <row r="88" spans="1:15" ht="29.45" thickBot="1">
      <c r="A88" s="2" t="s">
        <v>87</v>
      </c>
      <c r="B88" s="2" t="s">
        <v>102</v>
      </c>
      <c r="C88" s="2" t="s">
        <v>10</v>
      </c>
      <c r="D88" s="2" t="s">
        <v>6</v>
      </c>
      <c r="E88" s="10">
        <v>873.7</v>
      </c>
      <c r="F88" s="3">
        <v>9</v>
      </c>
      <c r="G88" s="11">
        <v>0</v>
      </c>
      <c r="H88" s="4">
        <v>45546</v>
      </c>
      <c r="I88" s="3">
        <v>305.8</v>
      </c>
      <c r="J88" s="8">
        <f t="shared" ca="1" si="1"/>
        <v>46315.597989699076</v>
      </c>
      <c r="L88" t="str">
        <v>Mary Davis</v>
      </c>
      <c r="N88" s="2"/>
      <c r="O88" s="10"/>
    </row>
    <row r="89" spans="1:15" ht="29.45" thickBot="1">
      <c r="A89" s="2" t="s">
        <v>119</v>
      </c>
      <c r="B89" s="2" t="s">
        <v>111</v>
      </c>
      <c r="C89" s="2" t="s">
        <v>13</v>
      </c>
      <c r="D89" s="2" t="s">
        <v>7</v>
      </c>
      <c r="E89" s="10">
        <v>1443.98</v>
      </c>
      <c r="F89" s="3">
        <v>19</v>
      </c>
      <c r="G89" s="11">
        <v>0</v>
      </c>
      <c r="H89" s="4">
        <v>45547</v>
      </c>
      <c r="I89" s="3">
        <v>649.79</v>
      </c>
      <c r="J89" s="8">
        <f t="shared" ca="1" si="1"/>
        <v>46315.597989699076</v>
      </c>
      <c r="L89" t="str">
        <v>Linda Wilson</v>
      </c>
      <c r="N89" s="2"/>
      <c r="O89" s="10"/>
    </row>
    <row r="90" spans="1:15" ht="29.45" thickBot="1">
      <c r="A90" s="2" t="s">
        <v>87</v>
      </c>
      <c r="B90" s="2" t="s">
        <v>74</v>
      </c>
      <c r="C90" s="2" t="s">
        <v>10</v>
      </c>
      <c r="D90" s="2" t="s">
        <v>7</v>
      </c>
      <c r="E90" s="10">
        <v>1154.33</v>
      </c>
      <c r="F90" s="3">
        <v>11</v>
      </c>
      <c r="G90" s="11">
        <v>0.15</v>
      </c>
      <c r="H90" s="4">
        <v>45549</v>
      </c>
      <c r="I90" s="3">
        <v>441.53</v>
      </c>
      <c r="J90" s="8">
        <f t="shared" ca="1" si="1"/>
        <v>46315.597989699076</v>
      </c>
      <c r="L90" t="str">
        <v>Emma Davis</v>
      </c>
      <c r="N90" s="2"/>
      <c r="O90" s="10"/>
    </row>
    <row r="91" spans="1:15" ht="29.45" thickBot="1">
      <c r="A91" s="2" t="s">
        <v>96</v>
      </c>
      <c r="B91" s="2" t="s">
        <v>97</v>
      </c>
      <c r="C91" s="2" t="s">
        <v>12</v>
      </c>
      <c r="D91" s="2" t="s">
        <v>3</v>
      </c>
      <c r="E91" s="10">
        <v>1264.49</v>
      </c>
      <c r="F91" s="3">
        <v>16</v>
      </c>
      <c r="G91" s="11">
        <v>0.05</v>
      </c>
      <c r="H91" s="4">
        <v>45549</v>
      </c>
      <c r="I91" s="3">
        <v>480.51</v>
      </c>
      <c r="J91" s="8">
        <f t="shared" ca="1" si="1"/>
        <v>46315.597989699076</v>
      </c>
      <c r="L91" t="str">
        <v>David Brown</v>
      </c>
      <c r="N91" s="2"/>
      <c r="O91" s="10"/>
    </row>
    <row r="92" spans="1:15" ht="29.45" thickBot="1">
      <c r="A92" s="2" t="s">
        <v>75</v>
      </c>
      <c r="B92" s="2" t="s">
        <v>113</v>
      </c>
      <c r="C92" s="2" t="s">
        <v>13</v>
      </c>
      <c r="D92" s="2" t="s">
        <v>6</v>
      </c>
      <c r="E92" s="10">
        <v>1101.55</v>
      </c>
      <c r="F92" s="3">
        <v>4</v>
      </c>
      <c r="G92" s="11">
        <v>0.1</v>
      </c>
      <c r="H92" s="4">
        <v>45551</v>
      </c>
      <c r="I92" s="3">
        <v>346.99</v>
      </c>
      <c r="J92" s="8">
        <f t="shared" ca="1" si="1"/>
        <v>46315.597989699076</v>
      </c>
      <c r="L92" t="str">
        <v>Michael Anderson</v>
      </c>
      <c r="N92" s="2"/>
      <c r="O92" s="10"/>
    </row>
    <row r="93" spans="1:15" ht="29.45" thickBot="1">
      <c r="A93" s="2" t="s">
        <v>120</v>
      </c>
      <c r="B93" s="2" t="s">
        <v>69</v>
      </c>
      <c r="C93" s="2" t="s">
        <v>12</v>
      </c>
      <c r="D93" s="2" t="s">
        <v>6</v>
      </c>
      <c r="E93" s="10">
        <v>727.73</v>
      </c>
      <c r="F93" s="3">
        <v>1</v>
      </c>
      <c r="G93" s="11">
        <v>0.1</v>
      </c>
      <c r="H93" s="4">
        <v>45552</v>
      </c>
      <c r="I93" s="3">
        <v>229.23</v>
      </c>
      <c r="J93" s="8">
        <f t="shared" ca="1" si="1"/>
        <v>46315.597989699076</v>
      </c>
      <c r="L93" t="str">
        <v>David Anderson</v>
      </c>
      <c r="N93" s="2"/>
      <c r="O93" s="10"/>
    </row>
    <row r="94" spans="1:15" ht="29.45" thickBot="1">
      <c r="A94" s="2" t="s">
        <v>121</v>
      </c>
      <c r="B94" s="2" t="s">
        <v>86</v>
      </c>
      <c r="C94" s="2" t="s">
        <v>10</v>
      </c>
      <c r="D94" s="2" t="s">
        <v>7</v>
      </c>
      <c r="E94" s="10">
        <v>875.41</v>
      </c>
      <c r="F94" s="3">
        <v>13</v>
      </c>
      <c r="G94" s="11">
        <v>0.15</v>
      </c>
      <c r="H94" s="4">
        <v>45552</v>
      </c>
      <c r="I94" s="3">
        <v>334.84</v>
      </c>
      <c r="J94" s="8">
        <f t="shared" ca="1" si="1"/>
        <v>46315.597989699076</v>
      </c>
      <c r="L94" t="str">
        <v>Emma Wilson</v>
      </c>
      <c r="N94" s="2"/>
      <c r="O94" s="10"/>
    </row>
    <row r="95" spans="1:15" ht="29.45" thickBot="1">
      <c r="A95" s="2" t="s">
        <v>114</v>
      </c>
      <c r="B95" s="2" t="s">
        <v>74</v>
      </c>
      <c r="C95" s="2" t="s">
        <v>13</v>
      </c>
      <c r="D95" s="2" t="s">
        <v>5</v>
      </c>
      <c r="E95" s="10">
        <v>1158.94</v>
      </c>
      <c r="F95" s="3">
        <v>19</v>
      </c>
      <c r="G95" s="11">
        <v>0.2</v>
      </c>
      <c r="H95" s="4">
        <v>45553</v>
      </c>
      <c r="I95" s="3">
        <v>231.79</v>
      </c>
      <c r="J95" s="8">
        <f t="shared" ca="1" si="1"/>
        <v>46315.597989699076</v>
      </c>
      <c r="L95" t="str">
        <v>David Thomas</v>
      </c>
      <c r="N95" s="2"/>
      <c r="O95" s="10"/>
    </row>
    <row r="96" spans="1:15" ht="29.45" thickBot="1">
      <c r="A96" s="2" t="s">
        <v>122</v>
      </c>
      <c r="B96" s="2" t="s">
        <v>94</v>
      </c>
      <c r="C96" s="2" t="s">
        <v>12</v>
      </c>
      <c r="D96" s="2" t="s">
        <v>3</v>
      </c>
      <c r="E96" s="10">
        <v>966.3</v>
      </c>
      <c r="F96" s="3">
        <v>2</v>
      </c>
      <c r="G96" s="11">
        <v>0.15</v>
      </c>
      <c r="H96" s="4">
        <v>45557</v>
      </c>
      <c r="I96" s="3">
        <v>328.54</v>
      </c>
      <c r="J96" s="8">
        <f t="shared" ca="1" si="1"/>
        <v>46315.597989699076</v>
      </c>
      <c r="N96" s="2"/>
      <c r="O96" s="10"/>
    </row>
    <row r="97" spans="1:15" ht="29.45" thickBot="1">
      <c r="A97" s="2" t="s">
        <v>115</v>
      </c>
      <c r="B97" s="2" t="s">
        <v>71</v>
      </c>
      <c r="C97" s="2" t="s">
        <v>12</v>
      </c>
      <c r="D97" s="2" t="s">
        <v>3</v>
      </c>
      <c r="E97" s="10">
        <v>917.48</v>
      </c>
      <c r="F97" s="3">
        <v>6</v>
      </c>
      <c r="G97" s="11">
        <v>0</v>
      </c>
      <c r="H97" s="4">
        <v>45558</v>
      </c>
      <c r="I97" s="3">
        <v>366.99</v>
      </c>
      <c r="J97" s="8">
        <f t="shared" ca="1" si="1"/>
        <v>46315.597989699076</v>
      </c>
      <c r="N97" s="2"/>
      <c r="O97" s="10"/>
    </row>
    <row r="98" spans="1:15" ht="29.45" thickBot="1">
      <c r="A98" s="2" t="s">
        <v>88</v>
      </c>
      <c r="B98" s="2" t="s">
        <v>108</v>
      </c>
      <c r="C98" s="2" t="s">
        <v>13</v>
      </c>
      <c r="D98" s="2" t="s">
        <v>6</v>
      </c>
      <c r="E98" s="10">
        <v>1172.97</v>
      </c>
      <c r="F98" s="3">
        <v>7</v>
      </c>
      <c r="G98" s="11">
        <v>0.15</v>
      </c>
      <c r="H98" s="4">
        <v>45559</v>
      </c>
      <c r="I98" s="3">
        <v>348.96</v>
      </c>
      <c r="J98" s="8">
        <f t="shared" ca="1" si="1"/>
        <v>46315.597989699076</v>
      </c>
      <c r="N98" s="2"/>
      <c r="O98" s="10"/>
    </row>
    <row r="99" spans="1:15" ht="29.45" thickBot="1">
      <c r="A99" s="2" t="s">
        <v>104</v>
      </c>
      <c r="B99" s="2" t="s">
        <v>74</v>
      </c>
      <c r="C99" s="2" t="s">
        <v>11</v>
      </c>
      <c r="D99" s="2" t="s">
        <v>4</v>
      </c>
      <c r="E99" s="10">
        <v>1205.82</v>
      </c>
      <c r="F99" s="3">
        <v>11</v>
      </c>
      <c r="G99" s="11">
        <v>0.1</v>
      </c>
      <c r="H99" s="4">
        <v>45559</v>
      </c>
      <c r="I99" s="3">
        <v>542.62</v>
      </c>
      <c r="J99" s="8">
        <f t="shared" ca="1" si="1"/>
        <v>46315.597989699076</v>
      </c>
      <c r="N99" s="2"/>
      <c r="O99" s="10"/>
    </row>
    <row r="100" spans="1:15" ht="29.45" thickBot="1">
      <c r="A100" s="2" t="s">
        <v>70</v>
      </c>
      <c r="B100" s="2" t="s">
        <v>111</v>
      </c>
      <c r="C100" s="2" t="s">
        <v>13</v>
      </c>
      <c r="D100" s="2" t="s">
        <v>7</v>
      </c>
      <c r="E100" s="10">
        <v>826.93</v>
      </c>
      <c r="F100" s="3">
        <v>10</v>
      </c>
      <c r="G100" s="11">
        <v>0.2</v>
      </c>
      <c r="H100" s="4">
        <v>45564</v>
      </c>
      <c r="I100" s="3">
        <v>297.69</v>
      </c>
      <c r="J100" s="8">
        <f t="shared" ca="1" si="1"/>
        <v>46315.597989699076</v>
      </c>
      <c r="N100" s="2"/>
      <c r="O100" s="10"/>
    </row>
    <row r="101" spans="1:15" ht="29.45" thickBot="1">
      <c r="A101" s="2" t="s">
        <v>114</v>
      </c>
      <c r="B101" s="2" t="s">
        <v>74</v>
      </c>
      <c r="C101" s="2" t="s">
        <v>9</v>
      </c>
      <c r="D101" s="2" t="s">
        <v>4</v>
      </c>
      <c r="E101" s="10">
        <v>902.19</v>
      </c>
      <c r="F101" s="3">
        <v>12</v>
      </c>
      <c r="G101" s="11">
        <v>0</v>
      </c>
      <c r="H101" s="4">
        <v>45564</v>
      </c>
      <c r="I101" s="3">
        <v>451.1</v>
      </c>
      <c r="J101" s="8">
        <f t="shared" ca="1" si="1"/>
        <v>46315.597989699076</v>
      </c>
      <c r="N101" s="2"/>
      <c r="O101" s="10"/>
    </row>
    <row r="102" spans="1:15" ht="29.45" thickBot="1">
      <c r="A102" s="2" t="s">
        <v>121</v>
      </c>
      <c r="B102" s="2" t="s">
        <v>86</v>
      </c>
      <c r="C102" s="2" t="s">
        <v>11</v>
      </c>
      <c r="D102" s="2" t="s">
        <v>3</v>
      </c>
      <c r="E102" s="10">
        <v>585.97</v>
      </c>
      <c r="F102" s="3">
        <v>17</v>
      </c>
      <c r="G102" s="11">
        <v>0.1</v>
      </c>
      <c r="H102" s="4">
        <v>45565</v>
      </c>
      <c r="I102" s="3">
        <v>210.95</v>
      </c>
      <c r="J102" s="8">
        <f t="shared" ca="1" si="1"/>
        <v>46315.597989699076</v>
      </c>
      <c r="N102" s="2"/>
      <c r="O102" s="10"/>
    </row>
    <row r="103" spans="1:15" ht="29.45" thickBot="1">
      <c r="A103" s="2" t="s">
        <v>107</v>
      </c>
      <c r="B103" s="2" t="s">
        <v>76</v>
      </c>
      <c r="C103" s="2" t="s">
        <v>11</v>
      </c>
      <c r="D103" s="2" t="s">
        <v>4</v>
      </c>
      <c r="E103" s="10">
        <v>990.19</v>
      </c>
      <c r="F103" s="3">
        <v>8</v>
      </c>
      <c r="G103" s="11">
        <v>0.1</v>
      </c>
      <c r="H103" s="4">
        <v>45565</v>
      </c>
      <c r="I103" s="3">
        <v>445.59</v>
      </c>
      <c r="J103" s="8">
        <f t="shared" ca="1" si="1"/>
        <v>46315.597989699076</v>
      </c>
      <c r="N103" s="2"/>
      <c r="O103" s="10"/>
    </row>
    <row r="104" spans="1:15" ht="15" thickBot="1">
      <c r="A104" s="2" t="s">
        <v>91</v>
      </c>
      <c r="B104" s="2" t="s">
        <v>103</v>
      </c>
      <c r="C104" s="2" t="s">
        <v>9</v>
      </c>
      <c r="D104" s="2" t="s">
        <v>5</v>
      </c>
      <c r="E104" s="10">
        <v>1014.09</v>
      </c>
      <c r="F104" s="3">
        <v>13</v>
      </c>
      <c r="G104" s="11">
        <v>0.2</v>
      </c>
      <c r="H104" s="4">
        <v>45567</v>
      </c>
      <c r="I104" s="3">
        <v>202.82</v>
      </c>
      <c r="J104" s="8">
        <f t="shared" ca="1" si="1"/>
        <v>46315.597989699076</v>
      </c>
      <c r="N104" s="2"/>
      <c r="O104" s="10"/>
    </row>
    <row r="105" spans="1:15" ht="15" thickBot="1">
      <c r="A105" s="2" t="s">
        <v>68</v>
      </c>
      <c r="B105" s="2" t="s">
        <v>95</v>
      </c>
      <c r="C105" s="2" t="s">
        <v>11</v>
      </c>
      <c r="D105" s="2" t="s">
        <v>5</v>
      </c>
      <c r="E105" s="10">
        <v>925.29</v>
      </c>
      <c r="F105" s="3">
        <v>17</v>
      </c>
      <c r="G105" s="11">
        <v>0</v>
      </c>
      <c r="H105" s="4">
        <v>45570</v>
      </c>
      <c r="I105" s="3">
        <v>231.32</v>
      </c>
      <c r="J105" s="8">
        <f t="shared" ca="1" si="1"/>
        <v>46315.597989699076</v>
      </c>
      <c r="N105" s="2"/>
      <c r="O105" s="10"/>
    </row>
    <row r="106" spans="1:15" ht="29.45" thickBot="1">
      <c r="A106" s="2" t="s">
        <v>101</v>
      </c>
      <c r="B106" s="2" t="s">
        <v>94</v>
      </c>
      <c r="C106" s="2" t="s">
        <v>10</v>
      </c>
      <c r="D106" s="2" t="s">
        <v>6</v>
      </c>
      <c r="E106" s="10">
        <v>1286.54</v>
      </c>
      <c r="F106" s="3">
        <v>8</v>
      </c>
      <c r="G106" s="11">
        <v>0</v>
      </c>
      <c r="H106" s="4">
        <v>45575</v>
      </c>
      <c r="I106" s="3">
        <v>450.29</v>
      </c>
      <c r="J106" s="8">
        <f t="shared" ca="1" si="1"/>
        <v>46315.597989699076</v>
      </c>
      <c r="N106" s="2"/>
      <c r="O106" s="10"/>
    </row>
    <row r="107" spans="1:15" ht="15" thickBot="1">
      <c r="A107" s="2" t="s">
        <v>85</v>
      </c>
      <c r="B107" s="2" t="s">
        <v>111</v>
      </c>
      <c r="C107" s="2" t="s">
        <v>12</v>
      </c>
      <c r="D107" s="2" t="s">
        <v>3</v>
      </c>
      <c r="E107" s="10">
        <v>961.62</v>
      </c>
      <c r="F107" s="3">
        <v>8</v>
      </c>
      <c r="G107" s="11">
        <v>0.2</v>
      </c>
      <c r="H107" s="4">
        <v>45577</v>
      </c>
      <c r="I107" s="3">
        <v>307.72000000000003</v>
      </c>
      <c r="J107" s="8">
        <f t="shared" ca="1" si="1"/>
        <v>46315.597989699076</v>
      </c>
      <c r="N107" s="2"/>
      <c r="O107" s="10"/>
    </row>
    <row r="108" spans="1:15" ht="29.45" thickBot="1">
      <c r="A108" s="2" t="s">
        <v>91</v>
      </c>
      <c r="B108" s="2" t="s">
        <v>74</v>
      </c>
      <c r="C108" s="2" t="s">
        <v>10</v>
      </c>
      <c r="D108" s="2" t="s">
        <v>3</v>
      </c>
      <c r="E108" s="10">
        <v>1081.1400000000001</v>
      </c>
      <c r="F108" s="3">
        <v>19</v>
      </c>
      <c r="G108" s="11">
        <v>0.15</v>
      </c>
      <c r="H108" s="4">
        <v>45577</v>
      </c>
      <c r="I108" s="3">
        <v>367.59</v>
      </c>
      <c r="J108" s="8">
        <f t="shared" ca="1" si="1"/>
        <v>46315.597989699076</v>
      </c>
      <c r="N108" s="2"/>
      <c r="O108" s="10"/>
    </row>
    <row r="109" spans="1:15" ht="29.45" thickBot="1">
      <c r="A109" s="2" t="s">
        <v>105</v>
      </c>
      <c r="B109" s="2" t="s">
        <v>74</v>
      </c>
      <c r="C109" s="2" t="s">
        <v>13</v>
      </c>
      <c r="D109" s="2" t="s">
        <v>4</v>
      </c>
      <c r="E109" s="10">
        <v>1923.66</v>
      </c>
      <c r="F109" s="3">
        <v>9</v>
      </c>
      <c r="G109" s="11">
        <v>0.2</v>
      </c>
      <c r="H109" s="4">
        <v>45580</v>
      </c>
      <c r="I109" s="3">
        <v>769.46</v>
      </c>
      <c r="J109" s="8">
        <f t="shared" ca="1" si="1"/>
        <v>46315.597989699076</v>
      </c>
      <c r="N109" s="2"/>
      <c r="O109" s="10"/>
    </row>
    <row r="110" spans="1:15" ht="29.45" thickBot="1">
      <c r="A110" s="2" t="s">
        <v>101</v>
      </c>
      <c r="B110" s="2" t="s">
        <v>113</v>
      </c>
      <c r="C110" s="2" t="s">
        <v>9</v>
      </c>
      <c r="D110" s="2" t="s">
        <v>4</v>
      </c>
      <c r="E110" s="10">
        <v>728.71</v>
      </c>
      <c r="F110" s="3">
        <v>14</v>
      </c>
      <c r="G110" s="11">
        <v>0.1</v>
      </c>
      <c r="H110" s="4">
        <v>45581</v>
      </c>
      <c r="I110" s="3">
        <v>327.92</v>
      </c>
      <c r="J110" s="8">
        <f t="shared" ca="1" si="1"/>
        <v>46315.597989699076</v>
      </c>
      <c r="N110" s="2"/>
      <c r="O110" s="10"/>
    </row>
    <row r="111" spans="1:15" ht="29.45" thickBot="1">
      <c r="A111" s="2" t="s">
        <v>66</v>
      </c>
      <c r="B111" s="2" t="s">
        <v>82</v>
      </c>
      <c r="C111" s="2" t="s">
        <v>9</v>
      </c>
      <c r="D111" s="2" t="s">
        <v>4</v>
      </c>
      <c r="E111" s="10">
        <v>1301.8900000000001</v>
      </c>
      <c r="F111" s="3">
        <v>7</v>
      </c>
      <c r="G111" s="11">
        <v>0.15</v>
      </c>
      <c r="H111" s="4">
        <v>45581</v>
      </c>
      <c r="I111" s="3">
        <v>553.29999999999995</v>
      </c>
      <c r="J111" s="8">
        <f t="shared" ca="1" si="1"/>
        <v>46315.597989699076</v>
      </c>
      <c r="N111" s="2"/>
      <c r="O111" s="10"/>
    </row>
    <row r="112" spans="1:15" ht="29.45" thickBot="1">
      <c r="A112" s="2" t="s">
        <v>117</v>
      </c>
      <c r="B112" s="2" t="s">
        <v>113</v>
      </c>
      <c r="C112" s="2" t="s">
        <v>10</v>
      </c>
      <c r="D112" s="2" t="s">
        <v>3</v>
      </c>
      <c r="E112" s="10">
        <v>980.18</v>
      </c>
      <c r="F112" s="3">
        <v>16</v>
      </c>
      <c r="G112" s="11">
        <v>0.1</v>
      </c>
      <c r="H112" s="4">
        <v>45582</v>
      </c>
      <c r="I112" s="3">
        <v>352.86</v>
      </c>
      <c r="J112" s="8">
        <f t="shared" ca="1" si="1"/>
        <v>46315.597989699076</v>
      </c>
      <c r="N112" s="2"/>
      <c r="O112" s="10"/>
    </row>
    <row r="113" spans="1:15" ht="29.45" thickBot="1">
      <c r="A113" s="2" t="s">
        <v>121</v>
      </c>
      <c r="B113" s="2" t="s">
        <v>74</v>
      </c>
      <c r="C113" s="2" t="s">
        <v>13</v>
      </c>
      <c r="D113" s="2" t="s">
        <v>4</v>
      </c>
      <c r="E113" s="10">
        <v>697.57</v>
      </c>
      <c r="F113" s="3">
        <v>17</v>
      </c>
      <c r="G113" s="11">
        <v>0.1</v>
      </c>
      <c r="H113" s="4">
        <v>45584</v>
      </c>
      <c r="I113" s="3">
        <v>313.91000000000003</v>
      </c>
      <c r="J113" s="8">
        <f t="shared" ca="1" si="1"/>
        <v>46315.597989699076</v>
      </c>
      <c r="N113" s="2"/>
      <c r="O113" s="10"/>
    </row>
    <row r="114" spans="1:15" ht="29.45" thickBot="1">
      <c r="A114" s="2" t="s">
        <v>93</v>
      </c>
      <c r="B114" s="2" t="s">
        <v>118</v>
      </c>
      <c r="C114" s="2" t="s">
        <v>13</v>
      </c>
      <c r="D114" s="2" t="s">
        <v>6</v>
      </c>
      <c r="E114" s="10">
        <v>1193.6099999999999</v>
      </c>
      <c r="F114" s="3">
        <v>1</v>
      </c>
      <c r="G114" s="11">
        <v>0.15</v>
      </c>
      <c r="H114" s="4">
        <v>45584</v>
      </c>
      <c r="I114" s="3">
        <v>355.1</v>
      </c>
      <c r="J114" s="8">
        <f t="shared" ca="1" si="1"/>
        <v>46315.597989699076</v>
      </c>
      <c r="N114" s="2"/>
      <c r="O114" s="10"/>
    </row>
    <row r="115" spans="1:15" ht="29.45" thickBot="1">
      <c r="A115" s="2" t="s">
        <v>81</v>
      </c>
      <c r="B115" s="2" t="s">
        <v>86</v>
      </c>
      <c r="C115" s="2" t="s">
        <v>12</v>
      </c>
      <c r="D115" s="2" t="s">
        <v>5</v>
      </c>
      <c r="E115" s="10">
        <v>771.02</v>
      </c>
      <c r="F115" s="3">
        <v>1</v>
      </c>
      <c r="G115" s="11">
        <v>0</v>
      </c>
      <c r="H115" s="4">
        <v>45585</v>
      </c>
      <c r="I115" s="3">
        <v>192.76</v>
      </c>
      <c r="J115" s="8">
        <f t="shared" ca="1" si="1"/>
        <v>46315.597989699076</v>
      </c>
      <c r="N115" s="2"/>
      <c r="O115" s="10"/>
    </row>
    <row r="116" spans="1:15" ht="29.45" thickBot="1">
      <c r="A116" s="2" t="s">
        <v>114</v>
      </c>
      <c r="B116" s="2" t="s">
        <v>116</v>
      </c>
      <c r="C116" s="2" t="s">
        <v>11</v>
      </c>
      <c r="D116" s="2" t="s">
        <v>4</v>
      </c>
      <c r="E116" s="10">
        <v>661.09</v>
      </c>
      <c r="F116" s="3">
        <v>1</v>
      </c>
      <c r="G116" s="11">
        <v>0.2</v>
      </c>
      <c r="H116" s="4">
        <v>45593</v>
      </c>
      <c r="I116" s="3">
        <v>264.44</v>
      </c>
      <c r="J116" s="8">
        <f t="shared" ca="1" si="1"/>
        <v>46315.597989699076</v>
      </c>
      <c r="N116" s="2"/>
      <c r="O116" s="10"/>
    </row>
    <row r="117" spans="1:15" ht="29.45" thickBot="1">
      <c r="A117" s="2" t="s">
        <v>68</v>
      </c>
      <c r="B117" s="2" t="s">
        <v>102</v>
      </c>
      <c r="C117" s="2" t="s">
        <v>13</v>
      </c>
      <c r="D117" s="2" t="s">
        <v>5</v>
      </c>
      <c r="E117" s="10">
        <v>688.83</v>
      </c>
      <c r="F117" s="3">
        <v>15</v>
      </c>
      <c r="G117" s="11">
        <v>0</v>
      </c>
      <c r="H117" s="4">
        <v>45595</v>
      </c>
      <c r="I117" s="3">
        <v>172.21</v>
      </c>
      <c r="J117" s="8">
        <f t="shared" ca="1" si="1"/>
        <v>46315.597989699076</v>
      </c>
      <c r="N117" s="2"/>
      <c r="O117" s="10"/>
    </row>
    <row r="118" spans="1:15" ht="29.45" thickBot="1">
      <c r="A118" s="2" t="s">
        <v>120</v>
      </c>
      <c r="B118" s="2" t="s">
        <v>78</v>
      </c>
      <c r="C118" s="2" t="s">
        <v>9</v>
      </c>
      <c r="D118" s="2" t="s">
        <v>3</v>
      </c>
      <c r="E118" s="10">
        <v>1249.0999999999999</v>
      </c>
      <c r="F118" s="3">
        <v>4</v>
      </c>
      <c r="G118" s="11">
        <v>0.05</v>
      </c>
      <c r="H118" s="4">
        <v>45597</v>
      </c>
      <c r="I118" s="3">
        <v>474.66</v>
      </c>
      <c r="J118" s="8">
        <f t="shared" ca="1" si="1"/>
        <v>46315.597989699076</v>
      </c>
      <c r="N118" s="2"/>
      <c r="O118" s="10"/>
    </row>
    <row r="119" spans="1:15" ht="29.45" thickBot="1">
      <c r="A119" s="2" t="s">
        <v>91</v>
      </c>
      <c r="B119" s="2" t="s">
        <v>74</v>
      </c>
      <c r="C119" s="2" t="s">
        <v>10</v>
      </c>
      <c r="D119" s="2" t="s">
        <v>7</v>
      </c>
      <c r="E119" s="10">
        <v>1014.22</v>
      </c>
      <c r="F119" s="3">
        <v>14</v>
      </c>
      <c r="G119" s="11">
        <v>0.05</v>
      </c>
      <c r="H119" s="4">
        <v>45599</v>
      </c>
      <c r="I119" s="3">
        <v>433.58</v>
      </c>
      <c r="J119" s="8">
        <f t="shared" ca="1" si="1"/>
        <v>46315.597989699076</v>
      </c>
      <c r="N119" s="2"/>
      <c r="O119" s="10"/>
    </row>
    <row r="120" spans="1:15" ht="15" thickBot="1">
      <c r="A120" s="2" t="s">
        <v>101</v>
      </c>
      <c r="B120" s="2" t="s">
        <v>95</v>
      </c>
      <c r="C120" s="2" t="s">
        <v>10</v>
      </c>
      <c r="D120" s="2" t="s">
        <v>3</v>
      </c>
      <c r="E120" s="10">
        <v>1010.58</v>
      </c>
      <c r="F120" s="3">
        <v>2</v>
      </c>
      <c r="G120" s="11">
        <v>0.15</v>
      </c>
      <c r="H120" s="4">
        <v>45605</v>
      </c>
      <c r="I120" s="3">
        <v>343.6</v>
      </c>
      <c r="J120" s="8">
        <f t="shared" ca="1" si="1"/>
        <v>46315.597989699076</v>
      </c>
      <c r="N120" s="2"/>
      <c r="O120" s="10"/>
    </row>
    <row r="121" spans="1:15" ht="29.45" thickBot="1">
      <c r="A121" s="2" t="s">
        <v>79</v>
      </c>
      <c r="B121" s="2" t="s">
        <v>106</v>
      </c>
      <c r="C121" s="2" t="s">
        <v>11</v>
      </c>
      <c r="D121" s="2" t="s">
        <v>6</v>
      </c>
      <c r="E121" s="10">
        <v>957.29</v>
      </c>
      <c r="F121" s="3">
        <v>4</v>
      </c>
      <c r="G121" s="11">
        <v>0.05</v>
      </c>
      <c r="H121" s="4">
        <v>45605</v>
      </c>
      <c r="I121" s="3">
        <v>318.3</v>
      </c>
      <c r="J121" s="8">
        <f t="shared" ca="1" si="1"/>
        <v>46315.597989699076</v>
      </c>
      <c r="N121" s="2"/>
      <c r="O121" s="10"/>
    </row>
    <row r="122" spans="1:15" ht="29.45" thickBot="1">
      <c r="A122" s="2" t="s">
        <v>77</v>
      </c>
      <c r="B122" s="2" t="s">
        <v>92</v>
      </c>
      <c r="C122" s="2" t="s">
        <v>11</v>
      </c>
      <c r="D122" s="2" t="s">
        <v>6</v>
      </c>
      <c r="E122" s="10">
        <v>1077.92</v>
      </c>
      <c r="F122" s="3">
        <v>3</v>
      </c>
      <c r="G122" s="11">
        <v>0.05</v>
      </c>
      <c r="H122" s="4">
        <v>45608</v>
      </c>
      <c r="I122" s="3">
        <v>358.41</v>
      </c>
      <c r="J122" s="8">
        <f t="shared" ca="1" si="1"/>
        <v>46315.597989699076</v>
      </c>
      <c r="N122" s="2"/>
      <c r="O122" s="10"/>
    </row>
    <row r="123" spans="1:15" ht="29.45" thickBot="1">
      <c r="A123" s="2" t="s">
        <v>99</v>
      </c>
      <c r="B123" s="2" t="s">
        <v>97</v>
      </c>
      <c r="C123" s="2" t="s">
        <v>12</v>
      </c>
      <c r="D123" s="2" t="s">
        <v>4</v>
      </c>
      <c r="E123" s="10">
        <v>1163.01</v>
      </c>
      <c r="F123" s="3">
        <v>5</v>
      </c>
      <c r="G123" s="11">
        <v>0</v>
      </c>
      <c r="H123" s="4">
        <v>45611</v>
      </c>
      <c r="I123" s="3">
        <v>581.5</v>
      </c>
      <c r="J123" s="8">
        <f t="shared" ca="1" si="1"/>
        <v>46315.597989699076</v>
      </c>
      <c r="N123" s="2"/>
      <c r="O123" s="10"/>
    </row>
    <row r="124" spans="1:15" ht="29.45" thickBot="1">
      <c r="A124" s="2" t="s">
        <v>101</v>
      </c>
      <c r="B124" s="2" t="s">
        <v>92</v>
      </c>
      <c r="C124" s="2" t="s">
        <v>10</v>
      </c>
      <c r="D124" s="2" t="s">
        <v>7</v>
      </c>
      <c r="E124" s="10">
        <v>1014.56</v>
      </c>
      <c r="F124" s="3">
        <v>10</v>
      </c>
      <c r="G124" s="11">
        <v>0.1</v>
      </c>
      <c r="H124" s="4">
        <v>45612</v>
      </c>
      <c r="I124" s="3">
        <v>410.9</v>
      </c>
      <c r="J124" s="8">
        <f t="shared" ca="1" si="1"/>
        <v>46315.597989699076</v>
      </c>
      <c r="N124" s="2"/>
      <c r="O124" s="10"/>
    </row>
    <row r="125" spans="1:15" ht="29.45" thickBot="1">
      <c r="A125" s="2" t="s">
        <v>66</v>
      </c>
      <c r="B125" s="2" t="s">
        <v>71</v>
      </c>
      <c r="C125" s="2" t="s">
        <v>12</v>
      </c>
      <c r="D125" s="2" t="s">
        <v>5</v>
      </c>
      <c r="E125" s="10">
        <v>718.04</v>
      </c>
      <c r="F125" s="3">
        <v>14</v>
      </c>
      <c r="G125" s="11">
        <v>0</v>
      </c>
      <c r="H125" s="4">
        <v>45613</v>
      </c>
      <c r="I125" s="3">
        <v>179.51</v>
      </c>
      <c r="J125" s="8">
        <f t="shared" ca="1" si="1"/>
        <v>46315.597989699076</v>
      </c>
      <c r="N125" s="2"/>
      <c r="O125" s="10"/>
    </row>
    <row r="126" spans="1:15" ht="29.45" thickBot="1">
      <c r="A126" s="2" t="s">
        <v>119</v>
      </c>
      <c r="B126" s="2" t="s">
        <v>71</v>
      </c>
      <c r="C126" s="2" t="s">
        <v>9</v>
      </c>
      <c r="D126" s="2" t="s">
        <v>4</v>
      </c>
      <c r="E126" s="10">
        <v>1277.8499999999999</v>
      </c>
      <c r="F126" s="3">
        <v>18</v>
      </c>
      <c r="G126" s="11">
        <v>0.2</v>
      </c>
      <c r="H126" s="4">
        <v>45613</v>
      </c>
      <c r="I126" s="3">
        <v>511.14</v>
      </c>
      <c r="J126" s="8">
        <f t="shared" ca="1" si="1"/>
        <v>46315.597989699076</v>
      </c>
      <c r="N126" s="2"/>
      <c r="O126" s="10"/>
    </row>
    <row r="127" spans="1:15" ht="29.45" thickBot="1">
      <c r="A127" s="2" t="s">
        <v>117</v>
      </c>
      <c r="B127" s="2" t="s">
        <v>74</v>
      </c>
      <c r="C127" s="2" t="s">
        <v>11</v>
      </c>
      <c r="D127" s="2" t="s">
        <v>5</v>
      </c>
      <c r="E127" s="10">
        <v>706.73</v>
      </c>
      <c r="F127" s="3">
        <v>1</v>
      </c>
      <c r="G127" s="11">
        <v>0.15</v>
      </c>
      <c r="H127" s="4">
        <v>45613</v>
      </c>
      <c r="I127" s="3">
        <v>150.18</v>
      </c>
      <c r="J127" s="8">
        <f t="shared" ca="1" si="1"/>
        <v>46315.597989699076</v>
      </c>
      <c r="N127" s="2"/>
      <c r="O127" s="10"/>
    </row>
    <row r="128" spans="1:15" ht="29.45" thickBot="1">
      <c r="A128" s="2" t="s">
        <v>112</v>
      </c>
      <c r="B128" s="2" t="s">
        <v>97</v>
      </c>
      <c r="C128" s="2" t="s">
        <v>10</v>
      </c>
      <c r="D128" s="2" t="s">
        <v>5</v>
      </c>
      <c r="E128" s="10">
        <v>1410.59</v>
      </c>
      <c r="F128" s="3">
        <v>15</v>
      </c>
      <c r="G128" s="11">
        <v>0</v>
      </c>
      <c r="H128" s="4">
        <v>45615</v>
      </c>
      <c r="I128" s="3">
        <v>352.65</v>
      </c>
      <c r="J128" s="8">
        <f t="shared" ca="1" si="1"/>
        <v>46315.597989699076</v>
      </c>
      <c r="N128" s="2"/>
      <c r="O128" s="10"/>
    </row>
    <row r="129" spans="1:15" ht="29.45" thickBot="1">
      <c r="A129" s="2" t="s">
        <v>81</v>
      </c>
      <c r="B129" s="2" t="s">
        <v>108</v>
      </c>
      <c r="C129" s="2" t="s">
        <v>12</v>
      </c>
      <c r="D129" s="2" t="s">
        <v>6</v>
      </c>
      <c r="E129" s="10">
        <v>1350.33</v>
      </c>
      <c r="F129" s="3">
        <v>10</v>
      </c>
      <c r="G129" s="11">
        <v>0</v>
      </c>
      <c r="H129" s="4">
        <v>45615</v>
      </c>
      <c r="I129" s="3">
        <v>472.62</v>
      </c>
      <c r="J129" s="8">
        <f t="shared" ca="1" si="1"/>
        <v>46315.597989699076</v>
      </c>
      <c r="N129" s="2"/>
      <c r="O129" s="10"/>
    </row>
    <row r="130" spans="1:15" ht="29.45" thickBot="1">
      <c r="A130" s="2" t="s">
        <v>88</v>
      </c>
      <c r="B130" s="2" t="s">
        <v>92</v>
      </c>
      <c r="C130" s="2" t="s">
        <v>10</v>
      </c>
      <c r="D130" s="2" t="s">
        <v>5</v>
      </c>
      <c r="E130" s="10">
        <v>919.18</v>
      </c>
      <c r="F130" s="3">
        <v>4</v>
      </c>
      <c r="G130" s="11">
        <v>0.15</v>
      </c>
      <c r="H130" s="4">
        <v>45615</v>
      </c>
      <c r="I130" s="3">
        <v>195.33</v>
      </c>
      <c r="J130" s="8">
        <f t="shared" ca="1" si="1"/>
        <v>46315.597989699076</v>
      </c>
      <c r="N130" s="2"/>
      <c r="O130" s="10"/>
    </row>
    <row r="131" spans="1:15" ht="29.45" thickBot="1">
      <c r="A131" s="2" t="s">
        <v>121</v>
      </c>
      <c r="B131" s="2" t="s">
        <v>74</v>
      </c>
      <c r="C131" s="2" t="s">
        <v>13</v>
      </c>
      <c r="D131" s="2" t="s">
        <v>5</v>
      </c>
      <c r="E131" s="10">
        <v>258.51</v>
      </c>
      <c r="F131" s="3">
        <v>19</v>
      </c>
      <c r="G131" s="11">
        <v>0</v>
      </c>
      <c r="H131" s="4">
        <v>45616</v>
      </c>
      <c r="I131" s="3">
        <v>64.63</v>
      </c>
      <c r="J131" s="8">
        <f t="shared" ref="J131:J194" ca="1" si="2">NOW()</f>
        <v>46315.597989699076</v>
      </c>
      <c r="N131" s="2"/>
      <c r="O131" s="10"/>
    </row>
    <row r="132" spans="1:15" ht="29.45" thickBot="1">
      <c r="A132" s="2" t="s">
        <v>110</v>
      </c>
      <c r="B132" s="2" t="s">
        <v>108</v>
      </c>
      <c r="C132" s="2" t="s">
        <v>10</v>
      </c>
      <c r="D132" s="2" t="s">
        <v>3</v>
      </c>
      <c r="E132" s="10">
        <v>1213.48</v>
      </c>
      <c r="F132" s="3">
        <v>5</v>
      </c>
      <c r="G132" s="11">
        <v>0.05</v>
      </c>
      <c r="H132" s="4">
        <v>45616</v>
      </c>
      <c r="I132" s="3">
        <v>461.12</v>
      </c>
      <c r="J132" s="8">
        <f t="shared" ca="1" si="2"/>
        <v>46315.597989699076</v>
      </c>
      <c r="N132" s="2"/>
      <c r="O132" s="10"/>
    </row>
    <row r="133" spans="1:15" ht="29.45" thickBot="1">
      <c r="A133" s="2" t="s">
        <v>104</v>
      </c>
      <c r="B133" s="2" t="s">
        <v>86</v>
      </c>
      <c r="C133" s="2" t="s">
        <v>9</v>
      </c>
      <c r="D133" s="2" t="s">
        <v>3</v>
      </c>
      <c r="E133" s="10">
        <v>1150.28</v>
      </c>
      <c r="F133" s="3">
        <v>8</v>
      </c>
      <c r="G133" s="11">
        <v>0.05</v>
      </c>
      <c r="H133" s="4">
        <v>45622</v>
      </c>
      <c r="I133" s="3">
        <v>437.11</v>
      </c>
      <c r="J133" s="8">
        <f t="shared" ca="1" si="2"/>
        <v>46315.597989699076</v>
      </c>
      <c r="N133" s="2"/>
      <c r="O133" s="10"/>
    </row>
    <row r="134" spans="1:15" ht="29.45" thickBot="1">
      <c r="A134" s="2" t="s">
        <v>85</v>
      </c>
      <c r="B134" s="2" t="s">
        <v>118</v>
      </c>
      <c r="C134" s="2" t="s">
        <v>12</v>
      </c>
      <c r="D134" s="2" t="s">
        <v>6</v>
      </c>
      <c r="E134" s="10">
        <v>853.86</v>
      </c>
      <c r="F134" s="3">
        <v>8</v>
      </c>
      <c r="G134" s="11">
        <v>0.1</v>
      </c>
      <c r="H134" s="4">
        <v>45622</v>
      </c>
      <c r="I134" s="3">
        <v>268.97000000000003</v>
      </c>
      <c r="J134" s="8">
        <f t="shared" ca="1" si="2"/>
        <v>46315.597989699076</v>
      </c>
      <c r="N134" s="2"/>
      <c r="O134" s="10"/>
    </row>
    <row r="135" spans="1:15" ht="29.45" thickBot="1">
      <c r="A135" s="2" t="s">
        <v>122</v>
      </c>
      <c r="B135" s="2" t="s">
        <v>92</v>
      </c>
      <c r="C135" s="2" t="s">
        <v>12</v>
      </c>
      <c r="D135" s="2" t="s">
        <v>5</v>
      </c>
      <c r="E135" s="10">
        <v>1061.04</v>
      </c>
      <c r="F135" s="3">
        <v>1</v>
      </c>
      <c r="G135" s="11">
        <v>0</v>
      </c>
      <c r="H135" s="4">
        <v>45624</v>
      </c>
      <c r="I135" s="3">
        <v>265.26</v>
      </c>
      <c r="J135" s="8">
        <f t="shared" ca="1" si="2"/>
        <v>46315.597989699076</v>
      </c>
      <c r="N135" s="2"/>
      <c r="O135" s="10"/>
    </row>
    <row r="136" spans="1:15" ht="29.45" thickBot="1">
      <c r="A136" s="2" t="s">
        <v>77</v>
      </c>
      <c r="B136" s="2" t="s">
        <v>90</v>
      </c>
      <c r="C136" s="2" t="s">
        <v>13</v>
      </c>
      <c r="D136" s="2" t="s">
        <v>5</v>
      </c>
      <c r="E136" s="10">
        <v>894.55</v>
      </c>
      <c r="F136" s="3">
        <v>19</v>
      </c>
      <c r="G136" s="11">
        <v>0.2</v>
      </c>
      <c r="H136" s="4">
        <v>45625</v>
      </c>
      <c r="I136" s="3">
        <v>178.91</v>
      </c>
      <c r="J136" s="8">
        <f t="shared" ca="1" si="2"/>
        <v>46315.597989699076</v>
      </c>
      <c r="N136" s="2"/>
      <c r="O136" s="10"/>
    </row>
    <row r="137" spans="1:15" ht="29.45" thickBot="1">
      <c r="A137" s="2" t="s">
        <v>75</v>
      </c>
      <c r="B137" s="2" t="s">
        <v>86</v>
      </c>
      <c r="C137" s="2" t="s">
        <v>11</v>
      </c>
      <c r="D137" s="2" t="s">
        <v>7</v>
      </c>
      <c r="E137" s="10">
        <v>833.91</v>
      </c>
      <c r="F137" s="3">
        <v>3</v>
      </c>
      <c r="G137" s="11">
        <v>0.05</v>
      </c>
      <c r="H137" s="4">
        <v>45626</v>
      </c>
      <c r="I137" s="3">
        <v>356.5</v>
      </c>
      <c r="J137" s="8">
        <f t="shared" ca="1" si="2"/>
        <v>46315.597989699076</v>
      </c>
      <c r="N137" s="2"/>
      <c r="O137" s="10"/>
    </row>
    <row r="138" spans="1:15" ht="29.45" thickBot="1">
      <c r="A138" s="2" t="s">
        <v>105</v>
      </c>
      <c r="B138" s="2" t="s">
        <v>118</v>
      </c>
      <c r="C138" s="2" t="s">
        <v>13</v>
      </c>
      <c r="D138" s="2" t="s">
        <v>6</v>
      </c>
      <c r="E138" s="10">
        <v>820.19</v>
      </c>
      <c r="F138" s="3">
        <v>4</v>
      </c>
      <c r="G138" s="11">
        <v>0.2</v>
      </c>
      <c r="H138" s="4">
        <v>45630</v>
      </c>
      <c r="I138" s="3">
        <v>229.65</v>
      </c>
      <c r="J138" s="8">
        <f t="shared" ca="1" si="2"/>
        <v>46315.597989699076</v>
      </c>
      <c r="N138" s="2"/>
      <c r="O138" s="10"/>
    </row>
    <row r="139" spans="1:15" ht="29.45" thickBot="1">
      <c r="A139" s="2" t="s">
        <v>105</v>
      </c>
      <c r="B139" s="2" t="s">
        <v>86</v>
      </c>
      <c r="C139" s="2" t="s">
        <v>9</v>
      </c>
      <c r="D139" s="2" t="s">
        <v>5</v>
      </c>
      <c r="E139" s="10">
        <v>511.74</v>
      </c>
      <c r="F139" s="3">
        <v>8</v>
      </c>
      <c r="G139" s="11">
        <v>0.05</v>
      </c>
      <c r="H139" s="4">
        <v>45631</v>
      </c>
      <c r="I139" s="3">
        <v>121.54</v>
      </c>
      <c r="J139" s="8">
        <f t="shared" ca="1" si="2"/>
        <v>46315.597989699076</v>
      </c>
      <c r="N139" s="2"/>
      <c r="O139" s="10"/>
    </row>
    <row r="140" spans="1:15" ht="29.45" thickBot="1">
      <c r="A140" s="2" t="s">
        <v>112</v>
      </c>
      <c r="B140" s="2" t="s">
        <v>108</v>
      </c>
      <c r="C140" s="2" t="s">
        <v>12</v>
      </c>
      <c r="D140" s="2" t="s">
        <v>6</v>
      </c>
      <c r="E140" s="10">
        <v>806.03</v>
      </c>
      <c r="F140" s="3">
        <v>19</v>
      </c>
      <c r="G140" s="11">
        <v>0.05</v>
      </c>
      <c r="H140" s="4">
        <v>45638</v>
      </c>
      <c r="I140" s="3">
        <v>268</v>
      </c>
      <c r="J140" s="8">
        <f t="shared" ca="1" si="2"/>
        <v>46315.597989699076</v>
      </c>
      <c r="N140" s="2"/>
      <c r="O140" s="10"/>
    </row>
    <row r="141" spans="1:15" ht="29.45" thickBot="1">
      <c r="A141" s="2" t="s">
        <v>77</v>
      </c>
      <c r="B141" s="2" t="s">
        <v>76</v>
      </c>
      <c r="C141" s="2" t="s">
        <v>9</v>
      </c>
      <c r="D141" s="2" t="s">
        <v>6</v>
      </c>
      <c r="E141" s="10">
        <v>1432.47</v>
      </c>
      <c r="F141" s="3">
        <v>16</v>
      </c>
      <c r="G141" s="11">
        <v>0.15</v>
      </c>
      <c r="H141" s="4">
        <v>45640</v>
      </c>
      <c r="I141" s="3">
        <v>426.16</v>
      </c>
      <c r="J141" s="8">
        <f t="shared" ca="1" si="2"/>
        <v>46315.597989699076</v>
      </c>
      <c r="N141" s="2"/>
      <c r="O141" s="10"/>
    </row>
    <row r="142" spans="1:15" ht="29.45" thickBot="1">
      <c r="A142" s="2" t="s">
        <v>121</v>
      </c>
      <c r="B142" s="2" t="s">
        <v>78</v>
      </c>
      <c r="C142" s="2" t="s">
        <v>9</v>
      </c>
      <c r="D142" s="2" t="s">
        <v>5</v>
      </c>
      <c r="E142" s="10">
        <v>1488.58</v>
      </c>
      <c r="F142" s="3">
        <v>10</v>
      </c>
      <c r="G142" s="11">
        <v>0.15</v>
      </c>
      <c r="H142" s="4">
        <v>45640</v>
      </c>
      <c r="I142" s="3">
        <v>316.32</v>
      </c>
      <c r="J142" s="8">
        <f t="shared" ca="1" si="2"/>
        <v>46315.597989699076</v>
      </c>
      <c r="N142" s="2"/>
      <c r="O142" s="10"/>
    </row>
    <row r="143" spans="1:15" ht="29.45" thickBot="1">
      <c r="A143" s="2" t="s">
        <v>79</v>
      </c>
      <c r="B143" s="2" t="s">
        <v>113</v>
      </c>
      <c r="C143" s="2" t="s">
        <v>10</v>
      </c>
      <c r="D143" s="2" t="s">
        <v>3</v>
      </c>
      <c r="E143" s="10">
        <v>1231.26</v>
      </c>
      <c r="F143" s="3">
        <v>9</v>
      </c>
      <c r="G143" s="11">
        <v>0</v>
      </c>
      <c r="H143" s="4">
        <v>45646</v>
      </c>
      <c r="I143" s="3">
        <v>492.5</v>
      </c>
      <c r="J143" s="8">
        <f t="shared" ca="1" si="2"/>
        <v>46315.597989699076</v>
      </c>
      <c r="N143" s="2"/>
      <c r="O143" s="10"/>
    </row>
    <row r="144" spans="1:15" ht="29.45" thickBot="1">
      <c r="A144" s="2" t="s">
        <v>79</v>
      </c>
      <c r="B144" s="2" t="s">
        <v>90</v>
      </c>
      <c r="C144" s="2" t="s">
        <v>13</v>
      </c>
      <c r="D144" s="2" t="s">
        <v>5</v>
      </c>
      <c r="E144" s="10">
        <v>1161.67</v>
      </c>
      <c r="F144" s="3">
        <v>19</v>
      </c>
      <c r="G144" s="11">
        <v>0.2</v>
      </c>
      <c r="H144" s="4">
        <v>45647</v>
      </c>
      <c r="I144" s="3">
        <v>232.33</v>
      </c>
      <c r="J144" s="8">
        <f t="shared" ca="1" si="2"/>
        <v>46315.597989699076</v>
      </c>
      <c r="N144" s="2"/>
      <c r="O144" s="10"/>
    </row>
    <row r="145" spans="1:15" ht="29.45" thickBot="1">
      <c r="A145" s="2" t="s">
        <v>96</v>
      </c>
      <c r="B145" s="2" t="s">
        <v>92</v>
      </c>
      <c r="C145" s="2" t="s">
        <v>9</v>
      </c>
      <c r="D145" s="2" t="s">
        <v>7</v>
      </c>
      <c r="E145" s="10">
        <v>388.23</v>
      </c>
      <c r="F145" s="3">
        <v>16</v>
      </c>
      <c r="G145" s="11">
        <v>0.05</v>
      </c>
      <c r="H145" s="4">
        <v>45650</v>
      </c>
      <c r="I145" s="3">
        <v>165.97</v>
      </c>
      <c r="J145" s="8">
        <f t="shared" ca="1" si="2"/>
        <v>46315.597989699076</v>
      </c>
      <c r="N145" s="2"/>
      <c r="O145" s="10"/>
    </row>
    <row r="146" spans="1:15" ht="15" thickBot="1">
      <c r="A146" s="2" t="s">
        <v>119</v>
      </c>
      <c r="B146" s="2" t="s">
        <v>80</v>
      </c>
      <c r="C146" s="2" t="s">
        <v>11</v>
      </c>
      <c r="D146" s="2" t="s">
        <v>4</v>
      </c>
      <c r="E146" s="10">
        <v>1589.42</v>
      </c>
      <c r="F146" s="3">
        <v>6</v>
      </c>
      <c r="G146" s="11">
        <v>0.15</v>
      </c>
      <c r="H146" s="4">
        <v>45651</v>
      </c>
      <c r="I146" s="3">
        <v>675.5</v>
      </c>
      <c r="J146" s="8">
        <f t="shared" ca="1" si="2"/>
        <v>46315.597989699076</v>
      </c>
      <c r="N146" s="2"/>
      <c r="O146" s="10"/>
    </row>
    <row r="147" spans="1:15" ht="29.45" thickBot="1">
      <c r="A147" s="2" t="s">
        <v>77</v>
      </c>
      <c r="B147" s="2" t="s">
        <v>118</v>
      </c>
      <c r="C147" s="2" t="s">
        <v>11</v>
      </c>
      <c r="D147" s="2" t="s">
        <v>4</v>
      </c>
      <c r="E147" s="10">
        <v>336.66</v>
      </c>
      <c r="F147" s="3">
        <v>13</v>
      </c>
      <c r="G147" s="11">
        <v>0.2</v>
      </c>
      <c r="H147" s="4">
        <v>45651</v>
      </c>
      <c r="I147" s="3">
        <v>134.66</v>
      </c>
      <c r="J147" s="8">
        <f t="shared" ca="1" si="2"/>
        <v>46315.597989699076</v>
      </c>
      <c r="N147" s="2"/>
      <c r="O147" s="10"/>
    </row>
    <row r="148" spans="1:15" ht="29.45" thickBot="1">
      <c r="A148" s="2" t="s">
        <v>96</v>
      </c>
      <c r="B148" s="2" t="s">
        <v>74</v>
      </c>
      <c r="C148" s="2" t="s">
        <v>13</v>
      </c>
      <c r="D148" s="2" t="s">
        <v>3</v>
      </c>
      <c r="E148" s="10">
        <v>1353.79</v>
      </c>
      <c r="F148" s="3">
        <v>14</v>
      </c>
      <c r="G148" s="11">
        <v>0.1</v>
      </c>
      <c r="H148" s="4">
        <v>45656</v>
      </c>
      <c r="I148" s="3">
        <v>487.36</v>
      </c>
      <c r="J148" s="8">
        <f t="shared" ca="1" si="2"/>
        <v>46315.597989699076</v>
      </c>
      <c r="N148" s="2"/>
      <c r="O148" s="10"/>
    </row>
    <row r="149" spans="1:15" ht="29.45" thickBot="1">
      <c r="A149" s="2" t="s">
        <v>110</v>
      </c>
      <c r="B149" s="2" t="s">
        <v>116</v>
      </c>
      <c r="C149" s="2" t="s">
        <v>9</v>
      </c>
      <c r="D149" s="2" t="s">
        <v>4</v>
      </c>
      <c r="E149" s="10">
        <v>662.61</v>
      </c>
      <c r="F149" s="3">
        <v>11</v>
      </c>
      <c r="G149" s="11">
        <v>0.05</v>
      </c>
      <c r="H149" s="4">
        <v>45658</v>
      </c>
      <c r="I149" s="3">
        <v>314.74</v>
      </c>
      <c r="J149" s="8">
        <f t="shared" ca="1" si="2"/>
        <v>46315.597989699076</v>
      </c>
      <c r="N149" s="2"/>
      <c r="O149" s="10"/>
    </row>
    <row r="150" spans="1:15" ht="29.45" thickBot="1">
      <c r="A150" s="2" t="s">
        <v>99</v>
      </c>
      <c r="B150" s="2" t="s">
        <v>95</v>
      </c>
      <c r="C150" s="2" t="s">
        <v>11</v>
      </c>
      <c r="D150" s="2" t="s">
        <v>7</v>
      </c>
      <c r="E150" s="10">
        <v>309.42</v>
      </c>
      <c r="F150" s="3">
        <v>1</v>
      </c>
      <c r="G150" s="11">
        <v>0.2</v>
      </c>
      <c r="H150" s="4">
        <v>45658</v>
      </c>
      <c r="I150" s="3">
        <v>111.39</v>
      </c>
      <c r="J150" s="8">
        <f t="shared" ca="1" si="2"/>
        <v>46315.597989699076</v>
      </c>
      <c r="N150" s="2"/>
      <c r="O150" s="10"/>
    </row>
    <row r="151" spans="1:15" ht="29.45" thickBot="1">
      <c r="A151" s="2" t="s">
        <v>110</v>
      </c>
      <c r="B151" s="2" t="s">
        <v>78</v>
      </c>
      <c r="C151" s="2" t="s">
        <v>11</v>
      </c>
      <c r="D151" s="2" t="s">
        <v>3</v>
      </c>
      <c r="E151" s="10">
        <v>884.63</v>
      </c>
      <c r="F151" s="3">
        <v>18</v>
      </c>
      <c r="G151" s="11">
        <v>0.1</v>
      </c>
      <c r="H151" s="4">
        <v>45659</v>
      </c>
      <c r="I151" s="3">
        <v>318.47000000000003</v>
      </c>
      <c r="J151" s="8">
        <f t="shared" ca="1" si="2"/>
        <v>46315.597989699076</v>
      </c>
      <c r="N151" s="2"/>
      <c r="O151" s="10"/>
    </row>
    <row r="152" spans="1:15" ht="29.45" thickBot="1">
      <c r="A152" s="2" t="s">
        <v>99</v>
      </c>
      <c r="B152" s="2" t="s">
        <v>74</v>
      </c>
      <c r="C152" s="2" t="s">
        <v>9</v>
      </c>
      <c r="D152" s="2" t="s">
        <v>7</v>
      </c>
      <c r="E152" s="10">
        <v>745.05</v>
      </c>
      <c r="F152" s="3">
        <v>10</v>
      </c>
      <c r="G152" s="11">
        <v>0.1</v>
      </c>
      <c r="H152" s="4">
        <v>45660</v>
      </c>
      <c r="I152" s="3">
        <v>301.75</v>
      </c>
      <c r="J152" s="8">
        <f t="shared" ca="1" si="2"/>
        <v>46315.597989699076</v>
      </c>
      <c r="N152" s="2"/>
      <c r="O152" s="10"/>
    </row>
    <row r="153" spans="1:15" ht="29.45" thickBot="1">
      <c r="A153" s="2" t="s">
        <v>107</v>
      </c>
      <c r="B153" s="2" t="s">
        <v>71</v>
      </c>
      <c r="C153" s="2" t="s">
        <v>12</v>
      </c>
      <c r="D153" s="2" t="s">
        <v>4</v>
      </c>
      <c r="E153" s="10">
        <v>870.23</v>
      </c>
      <c r="F153" s="3">
        <v>5</v>
      </c>
      <c r="G153" s="11">
        <v>0.05</v>
      </c>
      <c r="H153" s="4">
        <v>45660</v>
      </c>
      <c r="I153" s="3">
        <v>413.36</v>
      </c>
      <c r="J153" s="8">
        <f t="shared" ca="1" si="2"/>
        <v>46315.597989699076</v>
      </c>
      <c r="N153" s="2"/>
      <c r="O153" s="10"/>
    </row>
    <row r="154" spans="1:15" ht="29.45" thickBot="1">
      <c r="A154" s="2" t="s">
        <v>83</v>
      </c>
      <c r="B154" s="2" t="s">
        <v>78</v>
      </c>
      <c r="C154" s="2" t="s">
        <v>13</v>
      </c>
      <c r="D154" s="2" t="s">
        <v>6</v>
      </c>
      <c r="E154" s="10">
        <v>862.19</v>
      </c>
      <c r="F154" s="3">
        <v>18</v>
      </c>
      <c r="G154" s="11">
        <v>0.05</v>
      </c>
      <c r="H154" s="4">
        <v>45663</v>
      </c>
      <c r="I154" s="3">
        <v>286.68</v>
      </c>
      <c r="J154" s="8">
        <f t="shared" ca="1" si="2"/>
        <v>46315.597989699076</v>
      </c>
      <c r="N154" s="2"/>
      <c r="O154" s="10"/>
    </row>
    <row r="155" spans="1:15" ht="29.45" thickBot="1">
      <c r="A155" s="2" t="s">
        <v>120</v>
      </c>
      <c r="B155" s="2" t="s">
        <v>106</v>
      </c>
      <c r="C155" s="2" t="s">
        <v>11</v>
      </c>
      <c r="D155" s="2" t="s">
        <v>4</v>
      </c>
      <c r="E155" s="10">
        <v>1171.18</v>
      </c>
      <c r="F155" s="3">
        <v>19</v>
      </c>
      <c r="G155" s="11">
        <v>0.05</v>
      </c>
      <c r="H155" s="4">
        <v>45667</v>
      </c>
      <c r="I155" s="3">
        <v>556.30999999999995</v>
      </c>
      <c r="J155" s="8">
        <f t="shared" ca="1" si="2"/>
        <v>46315.597989699076</v>
      </c>
      <c r="N155" s="2"/>
      <c r="O155" s="10"/>
    </row>
    <row r="156" spans="1:15" ht="29.45" thickBot="1">
      <c r="A156" s="2" t="s">
        <v>105</v>
      </c>
      <c r="B156" s="2" t="s">
        <v>69</v>
      </c>
      <c r="C156" s="2" t="s">
        <v>12</v>
      </c>
      <c r="D156" s="2" t="s">
        <v>6</v>
      </c>
      <c r="E156" s="10">
        <v>1054.56</v>
      </c>
      <c r="F156" s="3">
        <v>11</v>
      </c>
      <c r="G156" s="11">
        <v>0.1</v>
      </c>
      <c r="H156" s="4">
        <v>45669</v>
      </c>
      <c r="I156" s="3">
        <v>332.19</v>
      </c>
      <c r="J156" s="8">
        <f t="shared" ca="1" si="2"/>
        <v>46315.597989699076</v>
      </c>
      <c r="N156" s="2"/>
      <c r="O156" s="10"/>
    </row>
    <row r="157" spans="1:15" ht="29.45" thickBot="1">
      <c r="A157" s="2" t="s">
        <v>105</v>
      </c>
      <c r="B157" s="2" t="s">
        <v>74</v>
      </c>
      <c r="C157" s="2" t="s">
        <v>11</v>
      </c>
      <c r="D157" s="2" t="s">
        <v>5</v>
      </c>
      <c r="E157" s="10">
        <v>1681.21</v>
      </c>
      <c r="F157" s="3">
        <v>5</v>
      </c>
      <c r="G157" s="11">
        <v>0.2</v>
      </c>
      <c r="H157" s="4">
        <v>45670</v>
      </c>
      <c r="I157" s="3">
        <v>336.24</v>
      </c>
      <c r="J157" s="8">
        <f t="shared" ca="1" si="2"/>
        <v>46315.597989699076</v>
      </c>
      <c r="N157" s="2"/>
      <c r="O157" s="10"/>
    </row>
    <row r="158" spans="1:15" ht="29.45" thickBot="1">
      <c r="A158" s="2" t="s">
        <v>105</v>
      </c>
      <c r="B158" s="2" t="s">
        <v>84</v>
      </c>
      <c r="C158" s="2" t="s">
        <v>13</v>
      </c>
      <c r="D158" s="2" t="s">
        <v>4</v>
      </c>
      <c r="E158" s="10">
        <v>379.77</v>
      </c>
      <c r="F158" s="3">
        <v>9</v>
      </c>
      <c r="G158" s="11">
        <v>0.05</v>
      </c>
      <c r="H158" s="4">
        <v>45673</v>
      </c>
      <c r="I158" s="3">
        <v>180.39</v>
      </c>
      <c r="J158" s="8">
        <f t="shared" ca="1" si="2"/>
        <v>46315.597989699076</v>
      </c>
      <c r="N158" s="2"/>
      <c r="O158" s="10"/>
    </row>
    <row r="159" spans="1:15" ht="29.45" thickBot="1">
      <c r="A159" s="2" t="s">
        <v>91</v>
      </c>
      <c r="B159" s="2" t="s">
        <v>92</v>
      </c>
      <c r="C159" s="2" t="s">
        <v>9</v>
      </c>
      <c r="D159" s="2" t="s">
        <v>4</v>
      </c>
      <c r="E159" s="10">
        <v>1076.33</v>
      </c>
      <c r="F159" s="3">
        <v>2</v>
      </c>
      <c r="G159" s="11">
        <v>0.1</v>
      </c>
      <c r="H159" s="4">
        <v>45674</v>
      </c>
      <c r="I159" s="3">
        <v>484.35</v>
      </c>
      <c r="J159" s="8">
        <f t="shared" ca="1" si="2"/>
        <v>46315.597989699076</v>
      </c>
      <c r="N159" s="2"/>
      <c r="O159" s="10"/>
    </row>
    <row r="160" spans="1:15" ht="29.45" thickBot="1">
      <c r="A160" s="2" t="s">
        <v>91</v>
      </c>
      <c r="B160" s="2" t="s">
        <v>80</v>
      </c>
      <c r="C160" s="2" t="s">
        <v>9</v>
      </c>
      <c r="D160" s="2" t="s">
        <v>7</v>
      </c>
      <c r="E160" s="10">
        <v>1250.71</v>
      </c>
      <c r="F160" s="3">
        <v>7</v>
      </c>
      <c r="G160" s="11">
        <v>0</v>
      </c>
      <c r="H160" s="4">
        <v>45674</v>
      </c>
      <c r="I160" s="3">
        <v>562.82000000000005</v>
      </c>
      <c r="J160" s="8">
        <f t="shared" ca="1" si="2"/>
        <v>46315.597989699076</v>
      </c>
      <c r="N160" s="2"/>
      <c r="O160" s="10"/>
    </row>
    <row r="161" spans="1:15" ht="29.45" thickBot="1">
      <c r="A161" s="2" t="s">
        <v>87</v>
      </c>
      <c r="B161" s="2" t="s">
        <v>71</v>
      </c>
      <c r="C161" s="2" t="s">
        <v>12</v>
      </c>
      <c r="D161" s="2" t="s">
        <v>4</v>
      </c>
      <c r="E161" s="10">
        <v>1118.3399999999999</v>
      </c>
      <c r="F161" s="3">
        <v>6</v>
      </c>
      <c r="G161" s="11">
        <v>0.2</v>
      </c>
      <c r="H161" s="4">
        <v>45674</v>
      </c>
      <c r="I161" s="3">
        <v>447.34</v>
      </c>
      <c r="J161" s="8">
        <f t="shared" ca="1" si="2"/>
        <v>46315.597989699076</v>
      </c>
      <c r="N161" s="2"/>
      <c r="O161" s="10"/>
    </row>
    <row r="162" spans="1:15" ht="29.45" thickBot="1">
      <c r="A162" s="2" t="s">
        <v>117</v>
      </c>
      <c r="B162" s="2" t="s">
        <v>100</v>
      </c>
      <c r="C162" s="2" t="s">
        <v>11</v>
      </c>
      <c r="D162" s="2" t="s">
        <v>4</v>
      </c>
      <c r="E162" s="10">
        <v>1622.62</v>
      </c>
      <c r="F162" s="3">
        <v>12</v>
      </c>
      <c r="G162" s="11">
        <v>0.2</v>
      </c>
      <c r="H162" s="4">
        <v>45677</v>
      </c>
      <c r="I162" s="3">
        <v>649.04999999999995</v>
      </c>
      <c r="J162" s="8">
        <f t="shared" ca="1" si="2"/>
        <v>46315.597989699076</v>
      </c>
      <c r="N162" s="2"/>
      <c r="O162" s="10"/>
    </row>
    <row r="163" spans="1:15" ht="15" thickBot="1">
      <c r="A163" s="2" t="s">
        <v>122</v>
      </c>
      <c r="B163" s="2" t="s">
        <v>95</v>
      </c>
      <c r="C163" s="2" t="s">
        <v>11</v>
      </c>
      <c r="D163" s="2" t="s">
        <v>3</v>
      </c>
      <c r="E163" s="10">
        <v>640.64</v>
      </c>
      <c r="F163" s="3">
        <v>11</v>
      </c>
      <c r="G163" s="11">
        <v>0.2</v>
      </c>
      <c r="H163" s="4">
        <v>45678</v>
      </c>
      <c r="I163" s="3">
        <v>205</v>
      </c>
      <c r="J163" s="8">
        <f t="shared" ca="1" si="2"/>
        <v>46315.597989699076</v>
      </c>
      <c r="N163" s="2"/>
      <c r="O163" s="10"/>
    </row>
    <row r="164" spans="1:15" ht="29.45" thickBot="1">
      <c r="A164" s="2" t="s">
        <v>73</v>
      </c>
      <c r="B164" s="2" t="s">
        <v>90</v>
      </c>
      <c r="C164" s="2" t="s">
        <v>13</v>
      </c>
      <c r="D164" s="2" t="s">
        <v>4</v>
      </c>
      <c r="E164" s="10">
        <v>585.16</v>
      </c>
      <c r="F164" s="3">
        <v>17</v>
      </c>
      <c r="G164" s="11">
        <v>0.1</v>
      </c>
      <c r="H164" s="4">
        <v>45684</v>
      </c>
      <c r="I164" s="3">
        <v>263.32</v>
      </c>
      <c r="J164" s="8">
        <f t="shared" ca="1" si="2"/>
        <v>46315.597989699076</v>
      </c>
      <c r="N164" s="2"/>
      <c r="O164" s="10"/>
    </row>
    <row r="165" spans="1:15" ht="15" thickBot="1">
      <c r="A165" s="2" t="s">
        <v>73</v>
      </c>
      <c r="B165" s="2" t="s">
        <v>80</v>
      </c>
      <c r="C165" s="2" t="s">
        <v>10</v>
      </c>
      <c r="D165" s="2" t="s">
        <v>4</v>
      </c>
      <c r="E165" s="10">
        <v>1109.98</v>
      </c>
      <c r="F165" s="3">
        <v>5</v>
      </c>
      <c r="G165" s="11">
        <v>0.2</v>
      </c>
      <c r="H165" s="4">
        <v>45690</v>
      </c>
      <c r="I165" s="3">
        <v>443.99</v>
      </c>
      <c r="J165" s="8">
        <f t="shared" ca="1" si="2"/>
        <v>46315.597989699076</v>
      </c>
      <c r="N165" s="2"/>
      <c r="O165" s="10"/>
    </row>
    <row r="166" spans="1:15" ht="29.45" thickBot="1">
      <c r="A166" s="2" t="s">
        <v>105</v>
      </c>
      <c r="B166" s="2" t="s">
        <v>92</v>
      </c>
      <c r="C166" s="2" t="s">
        <v>10</v>
      </c>
      <c r="D166" s="2" t="s">
        <v>3</v>
      </c>
      <c r="E166" s="10">
        <v>1098.08</v>
      </c>
      <c r="F166" s="3">
        <v>9</v>
      </c>
      <c r="G166" s="11">
        <v>0.1</v>
      </c>
      <c r="H166" s="4">
        <v>45692</v>
      </c>
      <c r="I166" s="3">
        <v>395.31</v>
      </c>
      <c r="J166" s="8">
        <f t="shared" ca="1" si="2"/>
        <v>46315.597989699076</v>
      </c>
      <c r="N166" s="2"/>
      <c r="O166" s="10"/>
    </row>
    <row r="167" spans="1:15" ht="29.45" thickBot="1">
      <c r="A167" s="2" t="s">
        <v>112</v>
      </c>
      <c r="B167" s="2" t="s">
        <v>95</v>
      </c>
      <c r="C167" s="2" t="s">
        <v>13</v>
      </c>
      <c r="D167" s="2" t="s">
        <v>7</v>
      </c>
      <c r="E167" s="10">
        <v>827.25</v>
      </c>
      <c r="F167" s="3">
        <v>7</v>
      </c>
      <c r="G167" s="11">
        <v>0.1</v>
      </c>
      <c r="H167" s="4">
        <v>45693</v>
      </c>
      <c r="I167" s="3">
        <v>335.04</v>
      </c>
      <c r="J167" s="8">
        <f t="shared" ca="1" si="2"/>
        <v>46315.597989699076</v>
      </c>
      <c r="N167" s="2"/>
      <c r="O167" s="10"/>
    </row>
    <row r="168" spans="1:15" ht="29.45" thickBot="1">
      <c r="A168" s="2" t="s">
        <v>117</v>
      </c>
      <c r="B168" s="2" t="s">
        <v>78</v>
      </c>
      <c r="C168" s="2" t="s">
        <v>9</v>
      </c>
      <c r="D168" s="2" t="s">
        <v>4</v>
      </c>
      <c r="E168" s="10">
        <v>741.88</v>
      </c>
      <c r="F168" s="3">
        <v>16</v>
      </c>
      <c r="G168" s="11">
        <v>0.1</v>
      </c>
      <c r="H168" s="4">
        <v>45695</v>
      </c>
      <c r="I168" s="3">
        <v>333.85</v>
      </c>
      <c r="J168" s="8">
        <f t="shared" ca="1" si="2"/>
        <v>46315.597989699076</v>
      </c>
      <c r="N168" s="2"/>
      <c r="O168" s="10"/>
    </row>
    <row r="169" spans="1:15" ht="29.45" thickBot="1">
      <c r="A169" s="2" t="s">
        <v>119</v>
      </c>
      <c r="B169" s="2" t="s">
        <v>67</v>
      </c>
      <c r="C169" s="2" t="s">
        <v>10</v>
      </c>
      <c r="D169" s="2" t="s">
        <v>7</v>
      </c>
      <c r="E169" s="10">
        <v>1311.26</v>
      </c>
      <c r="F169" s="3">
        <v>6</v>
      </c>
      <c r="G169" s="11">
        <v>0.1</v>
      </c>
      <c r="H169" s="4">
        <v>45698</v>
      </c>
      <c r="I169" s="3">
        <v>531.05999999999995</v>
      </c>
      <c r="J169" s="8">
        <f t="shared" ca="1" si="2"/>
        <v>46315.597989699076</v>
      </c>
      <c r="N169" s="2"/>
      <c r="O169" s="10"/>
    </row>
    <row r="170" spans="1:15" ht="29.45" thickBot="1">
      <c r="A170" s="2" t="s">
        <v>119</v>
      </c>
      <c r="B170" s="2" t="s">
        <v>80</v>
      </c>
      <c r="C170" s="2" t="s">
        <v>12</v>
      </c>
      <c r="D170" s="2" t="s">
        <v>7</v>
      </c>
      <c r="E170" s="10">
        <v>573.32000000000005</v>
      </c>
      <c r="F170" s="3">
        <v>19</v>
      </c>
      <c r="G170" s="11">
        <v>0.1</v>
      </c>
      <c r="H170" s="4">
        <v>45703</v>
      </c>
      <c r="I170" s="3">
        <v>232.19</v>
      </c>
      <c r="J170" s="8">
        <f t="shared" ca="1" si="2"/>
        <v>46315.597989699076</v>
      </c>
      <c r="N170" s="2"/>
      <c r="O170" s="10"/>
    </row>
    <row r="171" spans="1:15" ht="29.45" thickBot="1">
      <c r="A171" s="2" t="s">
        <v>99</v>
      </c>
      <c r="B171" s="2" t="s">
        <v>74</v>
      </c>
      <c r="C171" s="2" t="s">
        <v>13</v>
      </c>
      <c r="D171" s="2" t="s">
        <v>5</v>
      </c>
      <c r="E171" s="10">
        <v>1115.22</v>
      </c>
      <c r="F171" s="3">
        <v>14</v>
      </c>
      <c r="G171" s="11">
        <v>0.2</v>
      </c>
      <c r="H171" s="4">
        <v>45705</v>
      </c>
      <c r="I171" s="3">
        <v>223.04</v>
      </c>
      <c r="J171" s="8">
        <f t="shared" ca="1" si="2"/>
        <v>46315.597989699076</v>
      </c>
      <c r="N171" s="2"/>
      <c r="O171" s="10"/>
    </row>
    <row r="172" spans="1:15" ht="29.45" thickBot="1">
      <c r="A172" s="2" t="s">
        <v>68</v>
      </c>
      <c r="B172" s="2" t="s">
        <v>92</v>
      </c>
      <c r="C172" s="2" t="s">
        <v>11</v>
      </c>
      <c r="D172" s="2" t="s">
        <v>4</v>
      </c>
      <c r="E172" s="10">
        <v>845.84</v>
      </c>
      <c r="F172" s="3">
        <v>4</v>
      </c>
      <c r="G172" s="11">
        <v>0</v>
      </c>
      <c r="H172" s="4">
        <v>45707</v>
      </c>
      <c r="I172" s="3">
        <v>422.92</v>
      </c>
      <c r="J172" s="8">
        <f t="shared" ca="1" si="2"/>
        <v>46315.597989699076</v>
      </c>
      <c r="N172" s="2"/>
      <c r="O172" s="10"/>
    </row>
    <row r="173" spans="1:15" ht="29.45" thickBot="1">
      <c r="A173" s="2" t="s">
        <v>79</v>
      </c>
      <c r="B173" s="2" t="s">
        <v>102</v>
      </c>
      <c r="C173" s="2" t="s">
        <v>13</v>
      </c>
      <c r="D173" s="2" t="s">
        <v>5</v>
      </c>
      <c r="E173" s="10">
        <v>1029.8</v>
      </c>
      <c r="F173" s="3">
        <v>3</v>
      </c>
      <c r="G173" s="11">
        <v>0</v>
      </c>
      <c r="H173" s="4">
        <v>45708</v>
      </c>
      <c r="I173" s="3">
        <v>257.45</v>
      </c>
      <c r="J173" s="8">
        <f t="shared" ca="1" si="2"/>
        <v>46315.597989699076</v>
      </c>
      <c r="N173" s="2"/>
      <c r="O173" s="10"/>
    </row>
    <row r="174" spans="1:15" ht="15" thickBot="1">
      <c r="A174" s="2" t="s">
        <v>81</v>
      </c>
      <c r="B174" s="2" t="s">
        <v>80</v>
      </c>
      <c r="C174" s="2" t="s">
        <v>11</v>
      </c>
      <c r="D174" s="2" t="s">
        <v>3</v>
      </c>
      <c r="E174" s="10">
        <v>1189.83</v>
      </c>
      <c r="F174" s="3">
        <v>2</v>
      </c>
      <c r="G174" s="11">
        <v>0.2</v>
      </c>
      <c r="H174" s="4">
        <v>45709</v>
      </c>
      <c r="I174" s="3">
        <v>380.75</v>
      </c>
      <c r="J174" s="8">
        <f t="shared" ca="1" si="2"/>
        <v>46315.597989699076</v>
      </c>
      <c r="N174" s="2"/>
      <c r="O174" s="10"/>
    </row>
    <row r="175" spans="1:15" ht="29.45" thickBot="1">
      <c r="A175" s="2" t="s">
        <v>114</v>
      </c>
      <c r="B175" s="2" t="s">
        <v>90</v>
      </c>
      <c r="C175" s="2" t="s">
        <v>12</v>
      </c>
      <c r="D175" s="2" t="s">
        <v>3</v>
      </c>
      <c r="E175" s="10">
        <v>704.28</v>
      </c>
      <c r="F175" s="3">
        <v>15</v>
      </c>
      <c r="G175" s="11">
        <v>0.2</v>
      </c>
      <c r="H175" s="4">
        <v>45712</v>
      </c>
      <c r="I175" s="3">
        <v>225.37</v>
      </c>
      <c r="J175" s="8">
        <f t="shared" ca="1" si="2"/>
        <v>46315.597989699076</v>
      </c>
      <c r="N175" s="2"/>
      <c r="O175" s="10"/>
    </row>
    <row r="176" spans="1:15" ht="29.45" thickBot="1">
      <c r="A176" s="2" t="s">
        <v>112</v>
      </c>
      <c r="B176" s="2" t="s">
        <v>94</v>
      </c>
      <c r="C176" s="2" t="s">
        <v>9</v>
      </c>
      <c r="D176" s="2" t="s">
        <v>7</v>
      </c>
      <c r="E176" s="10">
        <v>1618.22</v>
      </c>
      <c r="F176" s="3">
        <v>12</v>
      </c>
      <c r="G176" s="11">
        <v>0.2</v>
      </c>
      <c r="H176" s="4">
        <v>45712</v>
      </c>
      <c r="I176" s="3">
        <v>582.55999999999995</v>
      </c>
      <c r="J176" s="8">
        <f t="shared" ca="1" si="2"/>
        <v>46315.597989699076</v>
      </c>
      <c r="N176" s="2"/>
      <c r="O176" s="10"/>
    </row>
    <row r="177" spans="1:15" ht="29.45" thickBot="1">
      <c r="A177" s="2" t="s">
        <v>120</v>
      </c>
      <c r="B177" s="2" t="s">
        <v>100</v>
      </c>
      <c r="C177" s="2" t="s">
        <v>9</v>
      </c>
      <c r="D177" s="2" t="s">
        <v>3</v>
      </c>
      <c r="E177" s="10">
        <v>1014.43</v>
      </c>
      <c r="F177" s="3">
        <v>2</v>
      </c>
      <c r="G177" s="11">
        <v>0.15</v>
      </c>
      <c r="H177" s="4">
        <v>45713</v>
      </c>
      <c r="I177" s="3">
        <v>344.91</v>
      </c>
      <c r="J177" s="8">
        <f t="shared" ca="1" si="2"/>
        <v>46315.597989699076</v>
      </c>
      <c r="N177" s="2"/>
      <c r="O177" s="10"/>
    </row>
    <row r="178" spans="1:15" ht="15" thickBot="1">
      <c r="A178" s="2" t="s">
        <v>122</v>
      </c>
      <c r="B178" s="2" t="s">
        <v>80</v>
      </c>
      <c r="C178" s="2" t="s">
        <v>9</v>
      </c>
      <c r="D178" s="2" t="s">
        <v>4</v>
      </c>
      <c r="E178" s="10">
        <v>826.97</v>
      </c>
      <c r="F178" s="3">
        <v>18</v>
      </c>
      <c r="G178" s="11">
        <v>0.2</v>
      </c>
      <c r="H178" s="4">
        <v>45715</v>
      </c>
      <c r="I178" s="3">
        <v>330.79</v>
      </c>
      <c r="J178" s="8">
        <f t="shared" ca="1" si="2"/>
        <v>46315.597989699076</v>
      </c>
      <c r="N178" s="2"/>
      <c r="O178" s="10"/>
    </row>
    <row r="179" spans="1:15" ht="15" thickBot="1">
      <c r="A179" s="2" t="s">
        <v>70</v>
      </c>
      <c r="B179" s="2" t="s">
        <v>80</v>
      </c>
      <c r="C179" s="2" t="s">
        <v>9</v>
      </c>
      <c r="D179" s="2" t="s">
        <v>4</v>
      </c>
      <c r="E179" s="10">
        <v>1022.23</v>
      </c>
      <c r="F179" s="3">
        <v>8</v>
      </c>
      <c r="G179" s="11">
        <v>0.1</v>
      </c>
      <c r="H179" s="4">
        <v>45717</v>
      </c>
      <c r="I179" s="3">
        <v>460</v>
      </c>
      <c r="J179" s="8">
        <f t="shared" ca="1" si="2"/>
        <v>46315.597989699076</v>
      </c>
      <c r="N179" s="2"/>
      <c r="O179" s="10"/>
    </row>
    <row r="180" spans="1:15" ht="29.45" thickBot="1">
      <c r="A180" s="2" t="s">
        <v>119</v>
      </c>
      <c r="B180" s="2" t="s">
        <v>78</v>
      </c>
      <c r="C180" s="2" t="s">
        <v>10</v>
      </c>
      <c r="D180" s="2" t="s">
        <v>3</v>
      </c>
      <c r="E180" s="10">
        <v>1099.69</v>
      </c>
      <c r="F180" s="3">
        <v>6</v>
      </c>
      <c r="G180" s="11">
        <v>0</v>
      </c>
      <c r="H180" s="4">
        <v>45718</v>
      </c>
      <c r="I180" s="3">
        <v>439.88</v>
      </c>
      <c r="J180" s="8">
        <f t="shared" ca="1" si="2"/>
        <v>46315.597989699076</v>
      </c>
      <c r="N180" s="2"/>
      <c r="O180" s="10"/>
    </row>
    <row r="181" spans="1:15" ht="15" thickBot="1">
      <c r="A181" s="2" t="s">
        <v>99</v>
      </c>
      <c r="B181" s="2" t="s">
        <v>111</v>
      </c>
      <c r="C181" s="2" t="s">
        <v>11</v>
      </c>
      <c r="D181" s="2" t="s">
        <v>3</v>
      </c>
      <c r="E181" s="10">
        <v>710.52</v>
      </c>
      <c r="F181" s="3">
        <v>8</v>
      </c>
      <c r="G181" s="11">
        <v>0.1</v>
      </c>
      <c r="H181" s="4">
        <v>45721</v>
      </c>
      <c r="I181" s="3">
        <v>255.79</v>
      </c>
      <c r="J181" s="8">
        <f t="shared" ca="1" si="2"/>
        <v>46315.597989699076</v>
      </c>
      <c r="N181" s="2"/>
      <c r="O181" s="10"/>
    </row>
    <row r="182" spans="1:15" ht="29.45" thickBot="1">
      <c r="A182" s="2" t="s">
        <v>99</v>
      </c>
      <c r="B182" s="2" t="s">
        <v>106</v>
      </c>
      <c r="C182" s="2" t="s">
        <v>11</v>
      </c>
      <c r="D182" s="2" t="s">
        <v>3</v>
      </c>
      <c r="E182" s="10">
        <v>499.18</v>
      </c>
      <c r="F182" s="3">
        <v>15</v>
      </c>
      <c r="G182" s="11">
        <v>0.2</v>
      </c>
      <c r="H182" s="4">
        <v>45724</v>
      </c>
      <c r="I182" s="3">
        <v>159.74</v>
      </c>
      <c r="J182" s="8">
        <f t="shared" ca="1" si="2"/>
        <v>46315.597989699076</v>
      </c>
      <c r="N182" s="2"/>
      <c r="O182" s="10"/>
    </row>
    <row r="183" spans="1:15" ht="29.45" thickBot="1">
      <c r="A183" s="2" t="s">
        <v>85</v>
      </c>
      <c r="B183" s="2" t="s">
        <v>86</v>
      </c>
      <c r="C183" s="2" t="s">
        <v>12</v>
      </c>
      <c r="D183" s="2" t="s">
        <v>3</v>
      </c>
      <c r="E183" s="10">
        <v>1064.19</v>
      </c>
      <c r="F183" s="3">
        <v>18</v>
      </c>
      <c r="G183" s="11">
        <v>0.05</v>
      </c>
      <c r="H183" s="4">
        <v>45725</v>
      </c>
      <c r="I183" s="3">
        <v>404.39</v>
      </c>
      <c r="J183" s="8">
        <f t="shared" ca="1" si="2"/>
        <v>46315.597989699076</v>
      </c>
      <c r="N183" s="2"/>
      <c r="O183" s="10"/>
    </row>
    <row r="184" spans="1:15" ht="29.45" thickBot="1">
      <c r="A184" s="2" t="s">
        <v>114</v>
      </c>
      <c r="B184" s="2" t="s">
        <v>86</v>
      </c>
      <c r="C184" s="2" t="s">
        <v>10</v>
      </c>
      <c r="D184" s="2" t="s">
        <v>7</v>
      </c>
      <c r="E184" s="10">
        <v>438.76</v>
      </c>
      <c r="F184" s="3">
        <v>18</v>
      </c>
      <c r="G184" s="11">
        <v>0.05</v>
      </c>
      <c r="H184" s="4">
        <v>45726</v>
      </c>
      <c r="I184" s="3">
        <v>187.57</v>
      </c>
      <c r="J184" s="8">
        <f t="shared" ca="1" si="2"/>
        <v>46315.597989699076</v>
      </c>
      <c r="N184" s="2"/>
      <c r="O184" s="10"/>
    </row>
    <row r="185" spans="1:15" ht="29.45" thickBot="1">
      <c r="A185" s="2" t="s">
        <v>88</v>
      </c>
      <c r="B185" s="2" t="s">
        <v>102</v>
      </c>
      <c r="C185" s="2" t="s">
        <v>13</v>
      </c>
      <c r="D185" s="2" t="s">
        <v>4</v>
      </c>
      <c r="E185" s="10">
        <v>864.98</v>
      </c>
      <c r="F185" s="3">
        <v>2</v>
      </c>
      <c r="G185" s="11">
        <v>0.05</v>
      </c>
      <c r="H185" s="4">
        <v>45727</v>
      </c>
      <c r="I185" s="3">
        <v>410.87</v>
      </c>
      <c r="J185" s="8">
        <f t="shared" ca="1" si="2"/>
        <v>46315.597989699076</v>
      </c>
      <c r="N185" s="2"/>
      <c r="O185" s="10"/>
    </row>
    <row r="186" spans="1:15" ht="29.45" thickBot="1">
      <c r="A186" s="2" t="s">
        <v>104</v>
      </c>
      <c r="B186" s="2" t="s">
        <v>102</v>
      </c>
      <c r="C186" s="2" t="s">
        <v>13</v>
      </c>
      <c r="D186" s="2" t="s">
        <v>6</v>
      </c>
      <c r="E186" s="10">
        <v>984.93</v>
      </c>
      <c r="F186" s="3">
        <v>14</v>
      </c>
      <c r="G186" s="11">
        <v>0.2</v>
      </c>
      <c r="H186" s="4">
        <v>45733</v>
      </c>
      <c r="I186" s="3">
        <v>275.77999999999997</v>
      </c>
      <c r="J186" s="8">
        <f t="shared" ca="1" si="2"/>
        <v>46315.597989699076</v>
      </c>
      <c r="N186" s="2"/>
      <c r="O186" s="10"/>
    </row>
    <row r="187" spans="1:15" ht="29.45" thickBot="1">
      <c r="A187" s="2" t="s">
        <v>75</v>
      </c>
      <c r="B187" s="2" t="s">
        <v>102</v>
      </c>
      <c r="C187" s="2" t="s">
        <v>13</v>
      </c>
      <c r="D187" s="2" t="s">
        <v>4</v>
      </c>
      <c r="E187" s="10">
        <v>1493.49</v>
      </c>
      <c r="F187" s="3">
        <v>18</v>
      </c>
      <c r="G187" s="11">
        <v>0</v>
      </c>
      <c r="H187" s="4">
        <v>45734</v>
      </c>
      <c r="I187" s="3">
        <v>746.74</v>
      </c>
      <c r="J187" s="8">
        <f t="shared" ca="1" si="2"/>
        <v>46315.597989699076</v>
      </c>
      <c r="N187" s="2"/>
      <c r="O187" s="10"/>
    </row>
    <row r="188" spans="1:15" ht="29.45" thickBot="1">
      <c r="A188" s="2" t="s">
        <v>81</v>
      </c>
      <c r="B188" s="2" t="s">
        <v>100</v>
      </c>
      <c r="C188" s="2" t="s">
        <v>12</v>
      </c>
      <c r="D188" s="2" t="s">
        <v>4</v>
      </c>
      <c r="E188" s="10">
        <v>689.43</v>
      </c>
      <c r="F188" s="3">
        <v>9</v>
      </c>
      <c r="G188" s="11">
        <v>0.1</v>
      </c>
      <c r="H188" s="4">
        <v>45736</v>
      </c>
      <c r="I188" s="3">
        <v>310.24</v>
      </c>
      <c r="J188" s="8">
        <f t="shared" ca="1" si="2"/>
        <v>46315.597989699076</v>
      </c>
      <c r="N188" s="2"/>
      <c r="O188" s="10"/>
    </row>
    <row r="189" spans="1:15" ht="29.45" thickBot="1">
      <c r="A189" s="2" t="s">
        <v>87</v>
      </c>
      <c r="B189" s="2" t="s">
        <v>106</v>
      </c>
      <c r="C189" s="2" t="s">
        <v>12</v>
      </c>
      <c r="D189" s="2" t="s">
        <v>4</v>
      </c>
      <c r="E189" s="10">
        <v>682.24</v>
      </c>
      <c r="F189" s="3">
        <v>1</v>
      </c>
      <c r="G189" s="11">
        <v>0</v>
      </c>
      <c r="H189" s="4">
        <v>45738</v>
      </c>
      <c r="I189" s="3">
        <v>341.12</v>
      </c>
      <c r="J189" s="8">
        <f t="shared" ca="1" si="2"/>
        <v>46315.597989699076</v>
      </c>
      <c r="N189" s="2"/>
      <c r="O189" s="10"/>
    </row>
    <row r="190" spans="1:15" ht="29.45" thickBot="1">
      <c r="A190" s="2" t="s">
        <v>88</v>
      </c>
      <c r="B190" s="2" t="s">
        <v>76</v>
      </c>
      <c r="C190" s="2" t="s">
        <v>11</v>
      </c>
      <c r="D190" s="2" t="s">
        <v>5</v>
      </c>
      <c r="E190" s="10">
        <v>458.54</v>
      </c>
      <c r="F190" s="3">
        <v>15</v>
      </c>
      <c r="G190" s="11">
        <v>0.2</v>
      </c>
      <c r="H190" s="4">
        <v>45741</v>
      </c>
      <c r="I190" s="3">
        <v>91.71</v>
      </c>
      <c r="J190" s="8">
        <f t="shared" ca="1" si="2"/>
        <v>46315.597989699076</v>
      </c>
      <c r="N190" s="2"/>
      <c r="O190" s="10"/>
    </row>
    <row r="191" spans="1:15" ht="29.45" thickBot="1">
      <c r="A191" s="2" t="s">
        <v>81</v>
      </c>
      <c r="B191" s="2" t="s">
        <v>76</v>
      </c>
      <c r="C191" s="2" t="s">
        <v>12</v>
      </c>
      <c r="D191" s="2" t="s">
        <v>6</v>
      </c>
      <c r="E191" s="10">
        <v>1184.25</v>
      </c>
      <c r="F191" s="3">
        <v>11</v>
      </c>
      <c r="G191" s="11">
        <v>0.2</v>
      </c>
      <c r="H191" s="4">
        <v>45742</v>
      </c>
      <c r="I191" s="3">
        <v>331.59</v>
      </c>
      <c r="J191" s="8">
        <f t="shared" ca="1" si="2"/>
        <v>46315.597989699076</v>
      </c>
      <c r="N191" s="2"/>
      <c r="O191" s="10"/>
    </row>
    <row r="192" spans="1:15" ht="15" thickBot="1">
      <c r="A192" s="2" t="s">
        <v>75</v>
      </c>
      <c r="B192" s="2" t="s">
        <v>67</v>
      </c>
      <c r="C192" s="2" t="s">
        <v>12</v>
      </c>
      <c r="D192" s="2" t="s">
        <v>4</v>
      </c>
      <c r="E192" s="10">
        <v>762.14</v>
      </c>
      <c r="F192" s="3">
        <v>9</v>
      </c>
      <c r="G192" s="11">
        <v>0</v>
      </c>
      <c r="H192" s="4">
        <v>45743</v>
      </c>
      <c r="I192" s="3">
        <v>381.07</v>
      </c>
      <c r="J192" s="8">
        <f t="shared" ca="1" si="2"/>
        <v>46315.597989699076</v>
      </c>
      <c r="N192" s="2"/>
      <c r="O192" s="10"/>
    </row>
    <row r="193" spans="1:15" ht="29.45" thickBot="1">
      <c r="A193" s="2" t="s">
        <v>73</v>
      </c>
      <c r="B193" s="2" t="s">
        <v>100</v>
      </c>
      <c r="C193" s="2" t="s">
        <v>11</v>
      </c>
      <c r="D193" s="2" t="s">
        <v>3</v>
      </c>
      <c r="E193" s="10">
        <v>750.71</v>
      </c>
      <c r="F193" s="3">
        <v>10</v>
      </c>
      <c r="G193" s="11">
        <v>0.15</v>
      </c>
      <c r="H193" s="4">
        <v>45743</v>
      </c>
      <c r="I193" s="3">
        <v>255.24</v>
      </c>
      <c r="J193" s="8">
        <f t="shared" ca="1" si="2"/>
        <v>46315.597989699076</v>
      </c>
      <c r="N193" s="2"/>
      <c r="O193" s="10"/>
    </row>
    <row r="194" spans="1:15" ht="29.45" thickBot="1">
      <c r="A194" s="2" t="s">
        <v>122</v>
      </c>
      <c r="B194" s="2" t="s">
        <v>118</v>
      </c>
      <c r="C194" s="2" t="s">
        <v>9</v>
      </c>
      <c r="D194" s="2" t="s">
        <v>4</v>
      </c>
      <c r="E194" s="10">
        <v>1456.94</v>
      </c>
      <c r="F194" s="3">
        <v>14</v>
      </c>
      <c r="G194" s="11">
        <v>0.05</v>
      </c>
      <c r="H194" s="4">
        <v>45745</v>
      </c>
      <c r="I194" s="3">
        <v>692.05</v>
      </c>
      <c r="J194" s="8">
        <f t="shared" ca="1" si="2"/>
        <v>46315.597989699076</v>
      </c>
      <c r="N194" s="2"/>
      <c r="O194" s="10"/>
    </row>
    <row r="195" spans="1:15" ht="29.45" thickBot="1">
      <c r="A195" s="2" t="s">
        <v>91</v>
      </c>
      <c r="B195" s="2" t="s">
        <v>108</v>
      </c>
      <c r="C195" s="2" t="s">
        <v>10</v>
      </c>
      <c r="D195" s="2" t="s">
        <v>6</v>
      </c>
      <c r="E195" s="10">
        <v>1093.3800000000001</v>
      </c>
      <c r="F195" s="3">
        <v>17</v>
      </c>
      <c r="G195" s="11">
        <v>0.1</v>
      </c>
      <c r="H195" s="4">
        <v>45745</v>
      </c>
      <c r="I195" s="3">
        <v>344.41</v>
      </c>
      <c r="J195" s="8">
        <f t="shared" ref="J195:J201" ca="1" si="3">NOW()</f>
        <v>46315.597989699076</v>
      </c>
      <c r="N195" s="2"/>
      <c r="O195" s="10"/>
    </row>
    <row r="196" spans="1:15" ht="29.45" thickBot="1">
      <c r="A196" s="2" t="s">
        <v>85</v>
      </c>
      <c r="B196" s="2" t="s">
        <v>90</v>
      </c>
      <c r="C196" s="2" t="s">
        <v>13</v>
      </c>
      <c r="D196" s="2" t="s">
        <v>4</v>
      </c>
      <c r="E196" s="10">
        <v>934.27</v>
      </c>
      <c r="F196" s="3">
        <v>8</v>
      </c>
      <c r="G196" s="11">
        <v>0.15</v>
      </c>
      <c r="H196" s="4">
        <v>45746</v>
      </c>
      <c r="I196" s="3">
        <v>397.06</v>
      </c>
      <c r="J196" s="8">
        <f t="shared" ca="1" si="3"/>
        <v>46315.597989699076</v>
      </c>
      <c r="N196" s="2"/>
      <c r="O196" s="10"/>
    </row>
    <row r="197" spans="1:15" ht="29.45" thickBot="1">
      <c r="A197" s="2" t="s">
        <v>117</v>
      </c>
      <c r="B197" s="2" t="s">
        <v>84</v>
      </c>
      <c r="C197" s="2" t="s">
        <v>9</v>
      </c>
      <c r="D197" s="2" t="s">
        <v>4</v>
      </c>
      <c r="E197" s="10">
        <v>1465.35</v>
      </c>
      <c r="F197" s="3">
        <v>8</v>
      </c>
      <c r="G197" s="11">
        <v>0.2</v>
      </c>
      <c r="H197" s="4">
        <v>45746</v>
      </c>
      <c r="I197" s="3">
        <v>586.14</v>
      </c>
      <c r="J197" s="8">
        <f t="shared" ca="1" si="3"/>
        <v>46315.597989699076</v>
      </c>
      <c r="N197" s="2"/>
      <c r="O197" s="10"/>
    </row>
    <row r="198" spans="1:15" ht="29.45" thickBot="1">
      <c r="A198" s="2" t="s">
        <v>99</v>
      </c>
      <c r="B198" s="2" t="s">
        <v>69</v>
      </c>
      <c r="C198" s="2" t="s">
        <v>12</v>
      </c>
      <c r="D198" s="2" t="s">
        <v>7</v>
      </c>
      <c r="E198" s="10">
        <v>740.8</v>
      </c>
      <c r="F198" s="3">
        <v>3</v>
      </c>
      <c r="G198" s="11">
        <v>0</v>
      </c>
      <c r="H198" s="4">
        <v>45749</v>
      </c>
      <c r="I198" s="3">
        <v>333.36</v>
      </c>
      <c r="J198" s="8">
        <f t="shared" ca="1" si="3"/>
        <v>46315.597989699076</v>
      </c>
      <c r="N198" s="2"/>
      <c r="O198" s="10"/>
    </row>
    <row r="199" spans="1:15" ht="29.45" thickBot="1">
      <c r="A199" s="2" t="s">
        <v>105</v>
      </c>
      <c r="B199" s="2" t="s">
        <v>90</v>
      </c>
      <c r="C199" s="2" t="s">
        <v>13</v>
      </c>
      <c r="D199" s="2" t="s">
        <v>7</v>
      </c>
      <c r="E199" s="10">
        <v>545.44000000000005</v>
      </c>
      <c r="F199" s="3">
        <v>17</v>
      </c>
      <c r="G199" s="11">
        <v>0</v>
      </c>
      <c r="H199" s="4">
        <v>45752</v>
      </c>
      <c r="I199" s="3">
        <v>245.45</v>
      </c>
      <c r="J199" s="8">
        <f t="shared" ca="1" si="3"/>
        <v>46315.597989699076</v>
      </c>
      <c r="N199" s="2"/>
      <c r="O199" s="10"/>
    </row>
    <row r="200" spans="1:15" ht="29.45" thickBot="1">
      <c r="A200" s="2" t="s">
        <v>83</v>
      </c>
      <c r="B200" s="2" t="s">
        <v>84</v>
      </c>
      <c r="C200" s="2" t="s">
        <v>10</v>
      </c>
      <c r="D200" s="2" t="s">
        <v>3</v>
      </c>
      <c r="E200" s="10">
        <v>997.61</v>
      </c>
      <c r="F200" s="3">
        <v>8</v>
      </c>
      <c r="G200" s="11">
        <v>0.05</v>
      </c>
      <c r="H200" s="4">
        <v>45752</v>
      </c>
      <c r="I200" s="3">
        <v>379.09</v>
      </c>
      <c r="J200" s="8">
        <f t="shared" ca="1" si="3"/>
        <v>46315.597989699076</v>
      </c>
      <c r="N200" s="2"/>
      <c r="O200" s="10"/>
    </row>
    <row r="201" spans="1:15" ht="29.45" thickBot="1">
      <c r="A201" s="2" t="s">
        <v>107</v>
      </c>
      <c r="B201" s="2" t="s">
        <v>84</v>
      </c>
      <c r="C201" s="2" t="s">
        <v>12</v>
      </c>
      <c r="D201" s="2" t="s">
        <v>4</v>
      </c>
      <c r="E201" s="10">
        <v>928.32</v>
      </c>
      <c r="F201" s="3">
        <v>2</v>
      </c>
      <c r="G201" s="11">
        <v>0.05</v>
      </c>
      <c r="H201" s="4">
        <v>45754</v>
      </c>
      <c r="I201" s="3">
        <v>440.95</v>
      </c>
      <c r="J201" s="8">
        <f t="shared" ca="1" si="3"/>
        <v>46315.597989699076</v>
      </c>
      <c r="N201" s="2"/>
      <c r="O201" s="10"/>
    </row>
  </sheetData>
  <conditionalFormatting sqref="E1:E201">
    <cfRule type="top10" dxfId="1" priority="3" rank="10"/>
  </conditionalFormatting>
  <conditionalFormatting sqref="O1:O201">
    <cfRule type="top10" dxfId="0" priority="2" rank="10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996A7367-4F0C-4762-909B-92FB321250F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M9:M201 M2:M7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D203-3819-4B6C-85F5-348C7CBCF99E}">
  <dimension ref="B1:H5"/>
  <sheetViews>
    <sheetView showGridLines="0" tabSelected="1" zoomScale="62" zoomScaleNormal="62" workbookViewId="0">
      <selection activeCell="S18" sqref="S18"/>
    </sheetView>
  </sheetViews>
  <sheetFormatPr defaultRowHeight="14.45"/>
  <cols>
    <col min="1" max="1" width="4.28515625" customWidth="1"/>
    <col min="2" max="2" width="22.85546875" customWidth="1"/>
    <col min="4" max="4" width="23.140625" customWidth="1"/>
    <col min="6" max="6" width="27.140625" customWidth="1"/>
    <col min="8" max="8" width="29.85546875" customWidth="1"/>
  </cols>
  <sheetData>
    <row r="1" spans="2:8">
      <c r="E1" s="22"/>
    </row>
    <row r="2" spans="2:8" ht="39.6">
      <c r="D2" s="21" t="s">
        <v>123</v>
      </c>
      <c r="E2" s="20"/>
      <c r="F2" s="20"/>
    </row>
    <row r="3" spans="2:8" ht="15" thickBot="1"/>
    <row r="4" spans="2:8" ht="28.5">
      <c r="B4" s="16" t="s">
        <v>124</v>
      </c>
      <c r="D4" s="16" t="s">
        <v>125</v>
      </c>
      <c r="F4" s="16" t="s">
        <v>126</v>
      </c>
      <c r="H4" s="16" t="s">
        <v>127</v>
      </c>
    </row>
    <row r="5" spans="2:8" ht="24" thickBot="1">
      <c r="B5" s="17">
        <f>SUM(Sheet1!E2:E201)</f>
        <v>195217.75999999992</v>
      </c>
      <c r="D5" s="17">
        <f>SUM(Sheet1!I2:I201)</f>
        <v>68287.010000000009</v>
      </c>
      <c r="F5" s="18">
        <f ca="1">COUNT(Sheet1!J2:J201)</f>
        <v>200</v>
      </c>
      <c r="H5" s="19">
        <f>AVERAGE(Sheet1!G2:G201)</f>
        <v>9.7250000000000003E-2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NIRPAL SOLANKI</dc:creator>
  <cp:keywords/>
  <dc:description/>
  <cp:lastModifiedBy/>
  <cp:revision/>
  <dcterms:created xsi:type="dcterms:W3CDTF">2026-10-15T13:12:34Z</dcterms:created>
  <dcterms:modified xsi:type="dcterms:W3CDTF">2026-10-20T08:51:31Z</dcterms:modified>
  <cp:category/>
  <cp:contentStatus/>
</cp:coreProperties>
</file>